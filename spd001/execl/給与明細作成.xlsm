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5" yWindow="150" windowWidth="11595" windowHeight="7965"/>
  </bookViews>
  <sheets>
    <sheet name="給与明細情報" sheetId="6" r:id="rId1"/>
    <sheet name="基本給DB" sheetId="7" r:id="rId2"/>
    <sheet name="フォーマットP001" sheetId="11" r:id="rId3"/>
    <sheet name="保険年金算出表" sheetId="9" state="hidden" r:id="rId4"/>
    <sheet name="源泉徴収額算出表" sheetId="10" state="hidden" r:id="rId5"/>
    <sheet name="マスタ" sheetId="8" state="hidden" r:id="rId6"/>
  </sheets>
  <functionGroups builtInGroupCount="17"/>
  <definedNames>
    <definedName name="_" hidden="1">{"'表紙'!$A$1:$W$39"}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1</definedName>
    <definedName name="_Parse_In" localSheetId="2" hidden="1">#REF!</definedName>
    <definedName name="_Parse_In" hidden="1">#REF!</definedName>
    <definedName name="_Parse_Out" localSheetId="2" hidden="1">#REF!</definedName>
    <definedName name="_Parse_Out" hidden="1">#REF!</definedName>
    <definedName name="_Sort" localSheetId="2" hidden="1">#REF!</definedName>
    <definedName name="_Sort" hidden="1">#REF!</definedName>
    <definedName name="_Table2_In1" localSheetId="2" hidden="1">#REF!</definedName>
    <definedName name="_Table2_In1" hidden="1">#REF!</definedName>
    <definedName name="_Table2_In2" localSheetId="2" hidden="1">#REF!</definedName>
    <definedName name="_Table2_In2" hidden="1">#REF!</definedName>
    <definedName name="_Table2_Out" localSheetId="2" hidden="1">#REF!</definedName>
    <definedName name="_Table2_Out" hidden="1">#REF!</definedName>
    <definedName name="aaaa" hidden="1">{"'表紙'!$A$1:$W$39"}</definedName>
    <definedName name="Access_Button" hidden="1">"項目一覧_データ_List"</definedName>
    <definedName name="AccessDatabase" hidden="1">"I:\画面レイアウト\ｾﾝﾀｰ運用\項目一覧1.mdb"</definedName>
    <definedName name="h" hidden="1">{"'フローチャート'!$A$1:$AO$191"}</definedName>
    <definedName name="HTML_CodePage" hidden="1">932</definedName>
    <definedName name="HTML_Control" hidden="1">{"'機能一覧 Master'!$A$1:$I$56"}</definedName>
    <definedName name="HTML_Control_2" hidden="1">{"'Sheet1'!$A$1:$O$49"}</definedName>
    <definedName name="HTML_Control1" hidden="1">{"'Sheet1'!$A$1:$O$49"}</definedName>
    <definedName name="HTML_Control3" hidden="1">{"'Sheet1'!$A$1:$O$49"}</definedName>
    <definedName name="HTML_CONTROL4" hidden="1">{"'Sheet1'!$A$1:$O$49"}</definedName>
    <definedName name="HTML_Description" hidden="1">""</definedName>
    <definedName name="HTML_Email" hidden="1">""</definedName>
    <definedName name="HTML_Header" hidden="1">"MyOFFICE タイプA 機能一覧表"</definedName>
    <definedName name="HTML_LastUpdate" hidden="1">"99/06/23"</definedName>
    <definedName name="HTML_LineAfter" hidden="1">TRUE</definedName>
    <definedName name="HTML_LineBefore" hidden="1">FALSE</definedName>
    <definedName name="HTML_Name" hidden="1">"江間　晶"</definedName>
    <definedName name="HTML_OBDlg2" hidden="1">TRUE</definedName>
    <definedName name="HTML_OBDlg4" hidden="1">TRUE</definedName>
    <definedName name="HTML_OS" hidden="1">0</definedName>
    <definedName name="HTML_PathFile" hidden="1">"Z:\Develop\V2\MyOFFICE 機能一覧 Master.htm"</definedName>
    <definedName name="HTML_Title" hidden="1">"MyOFFICE タイプA 機能一覧表"</definedName>
    <definedName name="HTML1_1" hidden="1">"'[ﾌﾟﾗｯﾄﾌｫﾑ.XLS]プラットフォーム 変更分'!$A$1:$G$16"</definedName>
    <definedName name="HTML1_10" hidden="1">""</definedName>
    <definedName name="HTML1_11" hidden="1">1</definedName>
    <definedName name="HTML1_12" hidden="1">"C:\My Documents\変更h_w.htm"</definedName>
    <definedName name="HTML1_2" hidden="1">1</definedName>
    <definedName name="HTML1_3" hidden="1">""</definedName>
    <definedName name="HTML1_4" hidden="1">""</definedName>
    <definedName name="HTML1_5" hidden="1">""</definedName>
    <definedName name="HTML1_6" hidden="1">-4146</definedName>
    <definedName name="HTML1_7" hidden="1">-4146</definedName>
    <definedName name="HTML1_8" hidden="1">""</definedName>
    <definedName name="HTML1_9" hidden="1">""</definedName>
    <definedName name="HTML2_1" hidden="1">"'[ﾌﾟﾗｯﾄﾌｫﾑ.XLS]プラットフォーム 変更分'!$A$1:$G$19"</definedName>
    <definedName name="HTML2_10" hidden="1">""</definedName>
    <definedName name="HTML2_11" hidden="1">1</definedName>
    <definedName name="HTML2_12" hidden="1">"C:\My Documents\変更h_w.htm"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""</definedName>
    <definedName name="HTML2_9" hidden="1">""</definedName>
    <definedName name="HTML3_1" hidden="1">"[ﾌﾟﾗｯﾄﾌｫﾑ.XLS]プラットフォーム!$A$1:$G$1656"</definedName>
    <definedName name="HTML3_10" hidden="1">""</definedName>
    <definedName name="HTML3_11" hidden="1">1</definedName>
    <definedName name="HTML3_12" hidden="1">"C:\My Documents\h_wMIN.htm"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""</definedName>
    <definedName name="HTML3_9" hidden="1">""</definedName>
    <definedName name="HTMLCount" hidden="1">3</definedName>
    <definedName name="q" hidden="1">{"'フローチャート'!$A$1:$AO$191"}</definedName>
    <definedName name="ssss" localSheetId="2" hidden="1">#REF!</definedName>
    <definedName name="ssss" hidden="1">#REF!</definedName>
    <definedName name="zz" hidden="1">{"'フローチャート'!$A$1:$AO$191"}</definedName>
    <definedName name="スケジュール" hidden="1">{"'表紙'!$A$1:$W$39"}</definedName>
    <definedName name="月リスト">マスタ!$A$1</definedName>
    <definedName name="新見積条件共通" hidden="1">{"'フローチャート'!$A$1:$AO$191"}</definedName>
    <definedName name="発行不要リスト">マスタ!$B$1</definedName>
  </definedNames>
  <calcPr calcId="145621"/>
  <customWorkbookViews>
    <customWorkbookView name=" 藤本 - 個人用ビュー" guid="{C2FDE7E0-D082-421F-A875-5A4F183DF9FC}" mergeInterval="0" personalView="1" maximized="1" windowWidth="1362" windowHeight="596" activeSheetId="3"/>
  </customWorkbookViews>
</workbook>
</file>

<file path=xl/calcChain.xml><?xml version="1.0" encoding="utf-8"?>
<calcChain xmlns="http://schemas.openxmlformats.org/spreadsheetml/2006/main">
  <c r="P15" i="6" l="1"/>
  <c r="P19" i="6" l="1"/>
  <c r="AB5" i="6" l="1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5" i="6"/>
  <c r="Y42" i="6" l="1"/>
  <c r="Y41" i="6"/>
  <c r="Y40" i="6"/>
  <c r="Y39" i="6"/>
  <c r="Y38" i="6"/>
  <c r="Y37" i="6"/>
  <c r="Y36" i="6"/>
  <c r="Y35" i="6"/>
  <c r="Y34" i="6"/>
  <c r="Y33" i="6"/>
  <c r="Y32" i="6"/>
  <c r="Y31" i="6"/>
  <c r="Y30" i="6"/>
  <c r="Y29" i="6"/>
  <c r="Y28" i="6"/>
  <c r="Y27" i="6"/>
  <c r="Y26" i="6"/>
  <c r="Y25" i="6"/>
  <c r="Y24" i="6"/>
  <c r="Y23" i="6"/>
  <c r="Y22" i="6"/>
  <c r="Y21" i="6"/>
  <c r="Y20" i="6"/>
  <c r="Y19" i="6"/>
  <c r="Y18" i="6"/>
  <c r="Y17" i="6"/>
  <c r="E2" i="7"/>
  <c r="F2" i="7"/>
  <c r="G2" i="7"/>
  <c r="H2" i="7"/>
  <c r="I2" i="7"/>
  <c r="J2" i="7"/>
  <c r="K2" i="7"/>
  <c r="L2" i="7"/>
  <c r="M2" i="7"/>
  <c r="N2" i="7"/>
  <c r="O2" i="7"/>
  <c r="P2" i="7"/>
  <c r="Q2" i="7"/>
  <c r="D2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Q43" i="7"/>
  <c r="P43" i="7"/>
  <c r="O43" i="7"/>
  <c r="N43" i="7"/>
  <c r="L43" i="7"/>
  <c r="Q42" i="7"/>
  <c r="P42" i="7"/>
  <c r="O42" i="7"/>
  <c r="N42" i="7"/>
  <c r="L42" i="7"/>
  <c r="Q41" i="7"/>
  <c r="P41" i="7"/>
  <c r="O41" i="7"/>
  <c r="N41" i="7"/>
  <c r="L41" i="7"/>
  <c r="Q40" i="7"/>
  <c r="P40" i="7"/>
  <c r="O40" i="7"/>
  <c r="N40" i="7"/>
  <c r="L40" i="7"/>
  <c r="Q39" i="7"/>
  <c r="P39" i="7"/>
  <c r="O39" i="7"/>
  <c r="N39" i="7"/>
  <c r="L39" i="7"/>
  <c r="Q38" i="7"/>
  <c r="P38" i="7"/>
  <c r="O38" i="7"/>
  <c r="N38" i="7"/>
  <c r="L38" i="7"/>
  <c r="Q37" i="7"/>
  <c r="P37" i="7"/>
  <c r="O37" i="7"/>
  <c r="N37" i="7"/>
  <c r="L37" i="7"/>
  <c r="Q36" i="7"/>
  <c r="P36" i="7"/>
  <c r="O36" i="7"/>
  <c r="N36" i="7"/>
  <c r="L36" i="7"/>
  <c r="Q35" i="7"/>
  <c r="P35" i="7"/>
  <c r="O35" i="7"/>
  <c r="N35" i="7"/>
  <c r="L35" i="7"/>
  <c r="Q34" i="7"/>
  <c r="P34" i="7"/>
  <c r="O34" i="7"/>
  <c r="N34" i="7"/>
  <c r="L34" i="7"/>
  <c r="Q33" i="7"/>
  <c r="P33" i="7"/>
  <c r="O33" i="7"/>
  <c r="N33" i="7"/>
  <c r="L33" i="7"/>
  <c r="Q32" i="7"/>
  <c r="P32" i="7"/>
  <c r="O32" i="7"/>
  <c r="N32" i="7"/>
  <c r="L32" i="7"/>
  <c r="Q31" i="7"/>
  <c r="P31" i="7"/>
  <c r="O31" i="7"/>
  <c r="N31" i="7"/>
  <c r="L31" i="7"/>
  <c r="Q30" i="7"/>
  <c r="P30" i="7"/>
  <c r="O30" i="7"/>
  <c r="N30" i="7"/>
  <c r="L30" i="7"/>
  <c r="Q29" i="7"/>
  <c r="P29" i="7"/>
  <c r="O29" i="7"/>
  <c r="N29" i="7"/>
  <c r="L29" i="7"/>
  <c r="Q28" i="7"/>
  <c r="P28" i="7"/>
  <c r="O28" i="7"/>
  <c r="N28" i="7"/>
  <c r="L28" i="7"/>
  <c r="Q27" i="7"/>
  <c r="P27" i="7"/>
  <c r="O27" i="7"/>
  <c r="N27" i="7"/>
  <c r="L27" i="7"/>
  <c r="Q26" i="7"/>
  <c r="P26" i="7"/>
  <c r="O26" i="7"/>
  <c r="N26" i="7"/>
  <c r="L26" i="7"/>
  <c r="Q25" i="7"/>
  <c r="P25" i="7"/>
  <c r="O25" i="7"/>
  <c r="N25" i="7"/>
  <c r="L25" i="7"/>
  <c r="Q24" i="7"/>
  <c r="P24" i="7"/>
  <c r="O24" i="7"/>
  <c r="N24" i="7"/>
  <c r="L24" i="7"/>
  <c r="Q23" i="7"/>
  <c r="P23" i="7"/>
  <c r="O23" i="7"/>
  <c r="N23" i="7"/>
  <c r="L23" i="7"/>
  <c r="Q22" i="7"/>
  <c r="P22" i="7"/>
  <c r="O22" i="7"/>
  <c r="N22" i="7"/>
  <c r="L22" i="7"/>
  <c r="Q21" i="7"/>
  <c r="P21" i="7"/>
  <c r="O21" i="7"/>
  <c r="N21" i="7"/>
  <c r="L21" i="7"/>
  <c r="Q20" i="7"/>
  <c r="P20" i="7"/>
  <c r="O20" i="7"/>
  <c r="N20" i="7"/>
  <c r="L20" i="7"/>
  <c r="Q19" i="7"/>
  <c r="P19" i="7"/>
  <c r="O19" i="7"/>
  <c r="N19" i="7"/>
  <c r="L19" i="7"/>
  <c r="Q18" i="7"/>
  <c r="P18" i="7"/>
  <c r="O18" i="7"/>
  <c r="N18" i="7"/>
  <c r="L18" i="7"/>
  <c r="Q17" i="7"/>
  <c r="P17" i="7"/>
  <c r="O17" i="7"/>
  <c r="N17" i="7"/>
  <c r="L17" i="7"/>
  <c r="Q16" i="7"/>
  <c r="P16" i="7"/>
  <c r="O16" i="7"/>
  <c r="N16" i="7"/>
  <c r="L16" i="7"/>
  <c r="Q15" i="7"/>
  <c r="P15" i="7"/>
  <c r="O15" i="7"/>
  <c r="N15" i="7"/>
  <c r="L15" i="7"/>
  <c r="Q14" i="7"/>
  <c r="P14" i="7"/>
  <c r="O14" i="7"/>
  <c r="N14" i="7"/>
  <c r="L14" i="7"/>
  <c r="Q13" i="7"/>
  <c r="P13" i="7"/>
  <c r="O13" i="7"/>
  <c r="N13" i="7"/>
  <c r="L13" i="7"/>
  <c r="Q12" i="7"/>
  <c r="P12" i="7"/>
  <c r="O12" i="7"/>
  <c r="N12" i="7"/>
  <c r="L12" i="7"/>
  <c r="N11" i="7"/>
  <c r="L11" i="7"/>
  <c r="N10" i="7"/>
  <c r="L10" i="7"/>
  <c r="N9" i="7"/>
  <c r="L9" i="7"/>
  <c r="N8" i="7"/>
  <c r="L8" i="7"/>
  <c r="N7" i="7"/>
  <c r="L7" i="7"/>
  <c r="N6" i="7"/>
  <c r="L6" i="7"/>
  <c r="N5" i="7"/>
  <c r="L5" i="7"/>
  <c r="L4" i="7"/>
  <c r="A18" i="10"/>
  <c r="A4" i="10"/>
  <c r="N4" i="7"/>
  <c r="I42" i="6" l="1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P42" i="6" l="1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8" i="6"/>
  <c r="P17" i="6"/>
  <c r="P16" i="6"/>
  <c r="E10" i="8"/>
  <c r="F43" i="7" l="1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U42" i="6"/>
  <c r="T42" i="6"/>
  <c r="U41" i="6"/>
  <c r="T41" i="6"/>
  <c r="U40" i="6"/>
  <c r="T40" i="6"/>
  <c r="U39" i="6"/>
  <c r="T39" i="6"/>
  <c r="U38" i="6"/>
  <c r="T38" i="6"/>
  <c r="U37" i="6"/>
  <c r="T37" i="6"/>
  <c r="U36" i="6"/>
  <c r="T36" i="6"/>
  <c r="U35" i="6"/>
  <c r="T35" i="6"/>
  <c r="U34" i="6"/>
  <c r="T34" i="6"/>
  <c r="U33" i="6"/>
  <c r="T33" i="6"/>
  <c r="U32" i="6"/>
  <c r="T32" i="6"/>
  <c r="U31" i="6"/>
  <c r="T31" i="6"/>
  <c r="U30" i="6"/>
  <c r="T30" i="6"/>
  <c r="U29" i="6"/>
  <c r="T29" i="6"/>
  <c r="U28" i="6"/>
  <c r="T28" i="6"/>
  <c r="U27" i="6"/>
  <c r="T27" i="6"/>
  <c r="U26" i="6"/>
  <c r="T26" i="6"/>
  <c r="U25" i="6"/>
  <c r="T25" i="6"/>
  <c r="U24" i="6"/>
  <c r="T24" i="6"/>
  <c r="U23" i="6"/>
  <c r="T23" i="6"/>
  <c r="U22" i="6"/>
  <c r="T22" i="6"/>
  <c r="U21" i="6"/>
  <c r="T21" i="6"/>
  <c r="U20" i="6"/>
  <c r="T20" i="6"/>
  <c r="U19" i="6"/>
  <c r="T19" i="6"/>
  <c r="U18" i="6"/>
  <c r="T18" i="6"/>
  <c r="U17" i="6"/>
  <c r="T17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F11" i="7"/>
  <c r="I11" i="7"/>
  <c r="H11" i="7"/>
  <c r="I4" i="7"/>
  <c r="H4" i="7"/>
  <c r="H5" i="7"/>
  <c r="F8" i="7"/>
  <c r="F9" i="7"/>
  <c r="I5" i="7"/>
  <c r="F6" i="7"/>
  <c r="I7" i="7"/>
  <c r="F10" i="7"/>
  <c r="F7" i="7"/>
  <c r="I9" i="7"/>
  <c r="I8" i="7"/>
  <c r="F4" i="7"/>
  <c r="H8" i="7"/>
  <c r="I6" i="7"/>
  <c r="I10" i="7"/>
  <c r="H9" i="7"/>
  <c r="F5" i="7"/>
  <c r="H10" i="7"/>
  <c r="H6" i="7"/>
  <c r="H7" i="7"/>
  <c r="P10" i="6" l="1"/>
  <c r="M10" i="6"/>
  <c r="P14" i="6"/>
  <c r="M14" i="6"/>
  <c r="P13" i="6"/>
  <c r="M13" i="6"/>
  <c r="P9" i="6"/>
  <c r="M9" i="6"/>
  <c r="P11" i="6"/>
  <c r="M11" i="6"/>
  <c r="P12" i="6"/>
  <c r="M12" i="6"/>
  <c r="M15" i="6"/>
  <c r="T16" i="6"/>
  <c r="U16" i="6"/>
  <c r="T15" i="6"/>
  <c r="U15" i="6"/>
  <c r="T14" i="6"/>
  <c r="U14" i="6"/>
  <c r="T13" i="6"/>
  <c r="U13" i="6"/>
  <c r="T12" i="6"/>
  <c r="U12" i="6"/>
  <c r="T11" i="6"/>
  <c r="U11" i="6"/>
  <c r="T9" i="6"/>
  <c r="U9" i="6"/>
  <c r="U10" i="6"/>
  <c r="T10" i="6"/>
  <c r="H12" i="6"/>
  <c r="AB42" i="6" l="1"/>
  <c r="R42" i="6"/>
  <c r="Q42" i="6"/>
  <c r="H42" i="6"/>
  <c r="AB41" i="6"/>
  <c r="R41" i="6"/>
  <c r="Q41" i="6"/>
  <c r="H41" i="6"/>
  <c r="AB40" i="6"/>
  <c r="R40" i="6"/>
  <c r="Q40" i="6"/>
  <c r="H40" i="6"/>
  <c r="AB39" i="6"/>
  <c r="R39" i="6"/>
  <c r="Q39" i="6"/>
  <c r="H39" i="6"/>
  <c r="AB38" i="6"/>
  <c r="R38" i="6"/>
  <c r="Q38" i="6"/>
  <c r="H38" i="6"/>
  <c r="AB37" i="6"/>
  <c r="R37" i="6"/>
  <c r="Q37" i="6"/>
  <c r="H37" i="6"/>
  <c r="AB36" i="6"/>
  <c r="R36" i="6"/>
  <c r="Q36" i="6"/>
  <c r="H36" i="6"/>
  <c r="AB35" i="6"/>
  <c r="R35" i="6"/>
  <c r="Q35" i="6"/>
  <c r="H35" i="6"/>
  <c r="AB34" i="6"/>
  <c r="R34" i="6"/>
  <c r="Q34" i="6"/>
  <c r="H34" i="6"/>
  <c r="AB33" i="6"/>
  <c r="R33" i="6"/>
  <c r="Q33" i="6"/>
  <c r="H33" i="6"/>
  <c r="AB32" i="6"/>
  <c r="R32" i="6"/>
  <c r="Q32" i="6"/>
  <c r="H32" i="6"/>
  <c r="AB31" i="6"/>
  <c r="R31" i="6"/>
  <c r="Q31" i="6"/>
  <c r="H31" i="6"/>
  <c r="AB30" i="6"/>
  <c r="R30" i="6"/>
  <c r="Q30" i="6"/>
  <c r="H30" i="6"/>
  <c r="AB29" i="6"/>
  <c r="R29" i="6"/>
  <c r="Q29" i="6"/>
  <c r="H29" i="6"/>
  <c r="AB28" i="6"/>
  <c r="R28" i="6"/>
  <c r="Q28" i="6"/>
  <c r="H28" i="6"/>
  <c r="AB27" i="6"/>
  <c r="R27" i="6"/>
  <c r="Q27" i="6"/>
  <c r="H27" i="6"/>
  <c r="AB26" i="6"/>
  <c r="R26" i="6"/>
  <c r="Q26" i="6"/>
  <c r="H26" i="6"/>
  <c r="AB25" i="6"/>
  <c r="R25" i="6"/>
  <c r="Q25" i="6"/>
  <c r="H25" i="6"/>
  <c r="AB24" i="6"/>
  <c r="R24" i="6"/>
  <c r="Q24" i="6"/>
  <c r="H24" i="6"/>
  <c r="AB23" i="6"/>
  <c r="R23" i="6"/>
  <c r="Q23" i="6"/>
  <c r="H23" i="6"/>
  <c r="AB22" i="6"/>
  <c r="R22" i="6"/>
  <c r="Q22" i="6"/>
  <c r="H22" i="6"/>
  <c r="AB21" i="6"/>
  <c r="R21" i="6"/>
  <c r="Q21" i="6"/>
  <c r="H21" i="6"/>
  <c r="AB20" i="6"/>
  <c r="R20" i="6"/>
  <c r="Q20" i="6"/>
  <c r="H20" i="6"/>
  <c r="AB19" i="6"/>
  <c r="R19" i="6"/>
  <c r="Q19" i="6"/>
  <c r="H19" i="6"/>
  <c r="AB18" i="6"/>
  <c r="R18" i="6"/>
  <c r="Q18" i="6"/>
  <c r="H18" i="6"/>
  <c r="AB17" i="6"/>
  <c r="R17" i="6"/>
  <c r="Q17" i="6"/>
  <c r="H17" i="6"/>
  <c r="R16" i="6"/>
  <c r="Q16" i="6"/>
  <c r="V16" i="6" s="1"/>
  <c r="H16" i="6"/>
  <c r="R15" i="6"/>
  <c r="Q15" i="6"/>
  <c r="V15" i="6" s="1"/>
  <c r="H15" i="6"/>
  <c r="R14" i="6"/>
  <c r="Q14" i="6"/>
  <c r="V14" i="6" s="1"/>
  <c r="H14" i="6"/>
  <c r="R13" i="6"/>
  <c r="Q13" i="6"/>
  <c r="V13" i="6" s="1"/>
  <c r="H13" i="6"/>
  <c r="R12" i="6"/>
  <c r="Q12" i="6"/>
  <c r="V12" i="6" s="1"/>
  <c r="R11" i="6"/>
  <c r="Q11" i="6"/>
  <c r="V11" i="6" s="1"/>
  <c r="H11" i="6"/>
  <c r="R10" i="6"/>
  <c r="Q10" i="6"/>
  <c r="V10" i="6" s="1"/>
  <c r="H10" i="6"/>
  <c r="R9" i="6"/>
  <c r="Q9" i="6"/>
  <c r="V9" i="6" s="1"/>
  <c r="H9" i="6"/>
  <c r="V24" i="6" l="1"/>
  <c r="W24" i="6" s="1"/>
  <c r="V18" i="6"/>
  <c r="W18" i="6" s="1"/>
  <c r="AC18" i="6" s="1"/>
  <c r="V19" i="6"/>
  <c r="V20" i="6"/>
  <c r="V21" i="6"/>
  <c r="W21" i="6" s="1"/>
  <c r="AC21" i="6" s="1"/>
  <c r="V25" i="6"/>
  <c r="W25" i="6" s="1"/>
  <c r="AC25" i="6" s="1"/>
  <c r="V27" i="6"/>
  <c r="W27" i="6" s="1"/>
  <c r="AC27" i="6" s="1"/>
  <c r="V29" i="6"/>
  <c r="V31" i="6"/>
  <c r="V36" i="6"/>
  <c r="V38" i="6"/>
  <c r="V40" i="6"/>
  <c r="V42" i="6"/>
  <c r="V17" i="6"/>
  <c r="W17" i="6" s="1"/>
  <c r="AC17" i="6" s="1"/>
  <c r="V30" i="6"/>
  <c r="W30" i="6" s="1"/>
  <c r="AC30" i="6" s="1"/>
  <c r="V32" i="6"/>
  <c r="W32" i="6" s="1"/>
  <c r="AC32" i="6" s="1"/>
  <c r="V22" i="6"/>
  <c r="W22" i="6" s="1"/>
  <c r="AC22" i="6" s="1"/>
  <c r="V23" i="6"/>
  <c r="W23" i="6" s="1"/>
  <c r="AC23" i="6" s="1"/>
  <c r="V26" i="6"/>
  <c r="W26" i="6" s="1"/>
  <c r="AC26" i="6" s="1"/>
  <c r="V28" i="6"/>
  <c r="W28" i="6" s="1"/>
  <c r="AC28" i="6" s="1"/>
  <c r="V33" i="6"/>
  <c r="W33" i="6" s="1"/>
  <c r="AC33" i="6" s="1"/>
  <c r="V34" i="6"/>
  <c r="W34" i="6" s="1"/>
  <c r="AC34" i="6" s="1"/>
  <c r="V35" i="6"/>
  <c r="W35" i="6" s="1"/>
  <c r="AC35" i="6" s="1"/>
  <c r="V37" i="6"/>
  <c r="W37" i="6" s="1"/>
  <c r="AC37" i="6" s="1"/>
  <c r="V39" i="6"/>
  <c r="W39" i="6" s="1"/>
  <c r="AC39" i="6" s="1"/>
  <c r="V41" i="6"/>
  <c r="W41" i="6" s="1"/>
  <c r="AC41" i="6" s="1"/>
  <c r="S42" i="6"/>
  <c r="W42" i="6"/>
  <c r="AC42" i="6" s="1"/>
  <c r="S27" i="6"/>
  <c r="S28" i="6"/>
  <c r="S34" i="6"/>
  <c r="S9" i="6"/>
  <c r="S20" i="6"/>
  <c r="S36" i="6"/>
  <c r="S21" i="6"/>
  <c r="S22" i="6"/>
  <c r="S37" i="6"/>
  <c r="S29" i="6"/>
  <c r="S40" i="6"/>
  <c r="S25" i="6"/>
  <c r="S26" i="6"/>
  <c r="S30" i="6"/>
  <c r="S35" i="6"/>
  <c r="S39" i="6"/>
  <c r="S16" i="6"/>
  <c r="S17" i="6"/>
  <c r="S41" i="6"/>
  <c r="W10" i="6"/>
  <c r="S11" i="6"/>
  <c r="S24" i="6"/>
  <c r="W12" i="6"/>
  <c r="S32" i="6"/>
  <c r="S31" i="6"/>
  <c r="S33" i="6"/>
  <c r="W13" i="6"/>
  <c r="S10" i="6"/>
  <c r="S15" i="6"/>
  <c r="S13" i="6"/>
  <c r="S23" i="6"/>
  <c r="W20" i="6"/>
  <c r="AC20" i="6" s="1"/>
  <c r="S18" i="6"/>
  <c r="W15" i="6"/>
  <c r="S14" i="6"/>
  <c r="W9" i="6"/>
  <c r="S12" i="6"/>
  <c r="S38" i="6"/>
  <c r="S19" i="6"/>
  <c r="W11" i="6"/>
  <c r="W14" i="6"/>
  <c r="W16" i="6"/>
  <c r="W19" i="6"/>
  <c r="AC19" i="6" s="1"/>
  <c r="W29" i="6"/>
  <c r="AC29" i="6" s="1"/>
  <c r="W31" i="6"/>
  <c r="AC31" i="6" s="1"/>
  <c r="W36" i="6"/>
  <c r="AC36" i="6" s="1"/>
  <c r="W38" i="6"/>
  <c r="AC38" i="6" s="1"/>
  <c r="W40" i="6"/>
  <c r="AC40" i="6" s="1"/>
  <c r="X24" i="6" l="1"/>
  <c r="AC24" i="6"/>
  <c r="X9" i="6"/>
  <c r="X21" i="6"/>
  <c r="X41" i="6"/>
  <c r="X37" i="6"/>
  <c r="X40" i="6"/>
  <c r="X39" i="6"/>
  <c r="X35" i="6"/>
  <c r="X34" i="6"/>
  <c r="X33" i="6"/>
  <c r="X32" i="6"/>
  <c r="X30" i="6"/>
  <c r="X22" i="6"/>
  <c r="X28" i="6"/>
  <c r="X23" i="6"/>
  <c r="X26" i="6"/>
  <c r="X27" i="6"/>
  <c r="X17" i="6"/>
  <c r="X42" i="6"/>
  <c r="X36" i="6"/>
  <c r="X29" i="6"/>
  <c r="X25" i="6"/>
  <c r="X20" i="6"/>
  <c r="X16" i="6"/>
  <c r="X12" i="6"/>
  <c r="X10" i="6"/>
  <c r="X11" i="6"/>
  <c r="X31" i="6"/>
  <c r="X13" i="6"/>
  <c r="X15" i="6"/>
  <c r="X14" i="6"/>
  <c r="X18" i="6"/>
  <c r="X38" i="6"/>
  <c r="X19" i="6"/>
  <c r="M11" i="7"/>
  <c r="M4" i="7"/>
  <c r="M9" i="7"/>
  <c r="M6" i="7"/>
  <c r="M5" i="7"/>
  <c r="M10" i="7"/>
  <c r="M7" i="7"/>
  <c r="M8" i="7"/>
  <c r="O4" i="7" l="1"/>
  <c r="P4" i="7" s="1"/>
  <c r="O9" i="7"/>
  <c r="O10" i="7"/>
  <c r="O5" i="7"/>
  <c r="O11" i="7"/>
  <c r="O8" i="7"/>
  <c r="O6" i="7"/>
  <c r="O7" i="7"/>
  <c r="Q4" i="7"/>
  <c r="Y9" i="6" l="1"/>
  <c r="AB9" i="6" s="1"/>
  <c r="AC9" i="6" s="1"/>
  <c r="P6" i="7"/>
  <c r="P11" i="7"/>
  <c r="P10" i="7"/>
  <c r="P7" i="7"/>
  <c r="P8" i="7"/>
  <c r="P5" i="7"/>
  <c r="P9" i="7"/>
  <c r="Q11" i="7"/>
  <c r="Q5" i="7"/>
  <c r="Q7" i="7"/>
  <c r="Q9" i="7"/>
  <c r="Q8" i="7"/>
  <c r="Q6" i="7"/>
  <c r="Q10" i="7"/>
  <c r="Y14" i="6" l="1"/>
  <c r="AB14" i="6" s="1"/>
  <c r="AC14" i="6" s="1"/>
  <c r="Y15" i="6"/>
  <c r="AB15" i="6" s="1"/>
  <c r="AC15" i="6" s="1"/>
  <c r="Y13" i="6"/>
  <c r="AB13" i="6" s="1"/>
  <c r="AC13" i="6" s="1"/>
  <c r="Y10" i="6"/>
  <c r="AB10" i="6" s="1"/>
  <c r="AC10" i="6" s="1"/>
  <c r="Y16" i="6"/>
  <c r="AB16" i="6" s="1"/>
  <c r="AC16" i="6" s="1"/>
  <c r="Y12" i="6"/>
  <c r="AB12" i="6" s="1"/>
  <c r="AC12" i="6" s="1"/>
  <c r="Y11" i="6"/>
  <c r="AB11" i="6" s="1"/>
  <c r="AC11" i="6" s="1"/>
</calcChain>
</file>

<file path=xl/sharedStrings.xml><?xml version="1.0" encoding="utf-8"?>
<sst xmlns="http://schemas.openxmlformats.org/spreadsheetml/2006/main" count="286" uniqueCount="165">
  <si>
    <t>年</t>
    <rPh sb="0" eb="1">
      <t>ネン</t>
    </rPh>
    <phoneticPr fontId="50"/>
  </si>
  <si>
    <t>月</t>
    <rPh sb="0" eb="1">
      <t>ツキ</t>
    </rPh>
    <phoneticPr fontId="50"/>
  </si>
  <si>
    <t>所定労働日数</t>
    <rPh sb="0" eb="2">
      <t>ショテイ</t>
    </rPh>
    <rPh sb="2" eb="4">
      <t>ロウドウ</t>
    </rPh>
    <rPh sb="4" eb="6">
      <t>ニッスウ</t>
    </rPh>
    <phoneticPr fontId="50"/>
  </si>
  <si>
    <t>社員情報</t>
    <rPh sb="0" eb="2">
      <t>シャイン</t>
    </rPh>
    <rPh sb="2" eb="4">
      <t>ジョウホウ</t>
    </rPh>
    <phoneticPr fontId="50"/>
  </si>
  <si>
    <t>発行</t>
    <rPh sb="0" eb="2">
      <t>ハッコウ</t>
    </rPh>
    <phoneticPr fontId="50"/>
  </si>
  <si>
    <t>基本データ</t>
    <rPh sb="0" eb="2">
      <t>キホン</t>
    </rPh>
    <phoneticPr fontId="50"/>
  </si>
  <si>
    <t>年次休暇</t>
    <rPh sb="0" eb="2">
      <t>ネンジ</t>
    </rPh>
    <rPh sb="2" eb="4">
      <t>キュウカ</t>
    </rPh>
    <phoneticPr fontId="50"/>
  </si>
  <si>
    <t>支給額</t>
    <rPh sb="0" eb="3">
      <t>シキュウガク</t>
    </rPh>
    <phoneticPr fontId="50"/>
  </si>
  <si>
    <t>社会保険料控除額</t>
    <rPh sb="0" eb="2">
      <t>シャカイ</t>
    </rPh>
    <rPh sb="2" eb="4">
      <t>ホケン</t>
    </rPh>
    <rPh sb="4" eb="5">
      <t>リョウ</t>
    </rPh>
    <rPh sb="5" eb="7">
      <t>コウジョ</t>
    </rPh>
    <rPh sb="7" eb="8">
      <t>ガク</t>
    </rPh>
    <phoneticPr fontId="50"/>
  </si>
  <si>
    <t>社会保険控除額</t>
    <rPh sb="0" eb="2">
      <t>シャカイ</t>
    </rPh>
    <rPh sb="2" eb="4">
      <t>ホケン</t>
    </rPh>
    <rPh sb="4" eb="6">
      <t>コウジョ</t>
    </rPh>
    <rPh sb="6" eb="7">
      <t>ガク</t>
    </rPh>
    <phoneticPr fontId="50"/>
  </si>
  <si>
    <t>ID</t>
    <phoneticPr fontId="50"/>
  </si>
  <si>
    <t>氏名</t>
    <rPh sb="0" eb="2">
      <t>シメイ</t>
    </rPh>
    <phoneticPr fontId="50"/>
  </si>
  <si>
    <t>メールアドレス</t>
    <phoneticPr fontId="50"/>
  </si>
  <si>
    <t>労働時間</t>
    <rPh sb="0" eb="2">
      <t>ロウドウ</t>
    </rPh>
    <rPh sb="2" eb="4">
      <t>ジカン</t>
    </rPh>
    <phoneticPr fontId="50"/>
  </si>
  <si>
    <t>出勤日数</t>
    <rPh sb="0" eb="2">
      <t>シュッキン</t>
    </rPh>
    <rPh sb="2" eb="4">
      <t>ニッスウ</t>
    </rPh>
    <phoneticPr fontId="50"/>
  </si>
  <si>
    <t>欠勤日数</t>
    <rPh sb="0" eb="2">
      <t>ケッキン</t>
    </rPh>
    <rPh sb="2" eb="4">
      <t>ニッスウ</t>
    </rPh>
    <phoneticPr fontId="50"/>
  </si>
  <si>
    <t>使用日数</t>
    <rPh sb="0" eb="2">
      <t>シヨウ</t>
    </rPh>
    <rPh sb="2" eb="4">
      <t>ニッスウ</t>
    </rPh>
    <phoneticPr fontId="50"/>
  </si>
  <si>
    <t>残日数</t>
    <rPh sb="0" eb="1">
      <t>ザン</t>
    </rPh>
    <rPh sb="1" eb="3">
      <t>ニッスウ</t>
    </rPh>
    <phoneticPr fontId="50"/>
  </si>
  <si>
    <t>慶弔・夏休</t>
    <rPh sb="0" eb="2">
      <t>ケイチョウ</t>
    </rPh>
    <rPh sb="3" eb="5">
      <t>カキュウ</t>
    </rPh>
    <phoneticPr fontId="50"/>
  </si>
  <si>
    <t>基本給</t>
    <rPh sb="0" eb="3">
      <t>キホンキュウ</t>
    </rPh>
    <phoneticPr fontId="50"/>
  </si>
  <si>
    <t>社保手当</t>
    <rPh sb="0" eb="2">
      <t>シャホ</t>
    </rPh>
    <rPh sb="2" eb="4">
      <t>テアテ</t>
    </rPh>
    <phoneticPr fontId="50"/>
  </si>
  <si>
    <t>定期代過不足清算</t>
    <rPh sb="0" eb="3">
      <t>テイキダイ</t>
    </rPh>
    <rPh sb="3" eb="6">
      <t>カブソク</t>
    </rPh>
    <rPh sb="6" eb="8">
      <t>セイサン</t>
    </rPh>
    <phoneticPr fontId="50"/>
  </si>
  <si>
    <t>通勤手当</t>
    <rPh sb="0" eb="2">
      <t>ツウキン</t>
    </rPh>
    <rPh sb="2" eb="4">
      <t>テアテ</t>
    </rPh>
    <phoneticPr fontId="50"/>
  </si>
  <si>
    <t>支給額総額</t>
    <rPh sb="0" eb="2">
      <t>シキュウ</t>
    </rPh>
    <rPh sb="2" eb="3">
      <t>ガク</t>
    </rPh>
    <rPh sb="3" eb="5">
      <t>ソウガク</t>
    </rPh>
    <phoneticPr fontId="50"/>
  </si>
  <si>
    <t>非課税</t>
    <rPh sb="0" eb="3">
      <t>ヒカゼイ</t>
    </rPh>
    <phoneticPr fontId="50"/>
  </si>
  <si>
    <t>課税分支給額</t>
    <rPh sb="0" eb="2">
      <t>カゼイ</t>
    </rPh>
    <rPh sb="2" eb="3">
      <t>ブン</t>
    </rPh>
    <rPh sb="3" eb="6">
      <t>シキュウガク</t>
    </rPh>
    <phoneticPr fontId="50"/>
  </si>
  <si>
    <t>健康保険</t>
    <rPh sb="0" eb="2">
      <t>ケンコウ</t>
    </rPh>
    <rPh sb="2" eb="4">
      <t>ホケン</t>
    </rPh>
    <phoneticPr fontId="50"/>
  </si>
  <si>
    <t>厚生年金</t>
    <rPh sb="0" eb="2">
      <t>コウセイ</t>
    </rPh>
    <rPh sb="2" eb="4">
      <t>ネンキン</t>
    </rPh>
    <phoneticPr fontId="50"/>
  </si>
  <si>
    <t>雇用保険</t>
    <rPh sb="0" eb="2">
      <t>コヨウ</t>
    </rPh>
    <rPh sb="2" eb="4">
      <t>ホケン</t>
    </rPh>
    <phoneticPr fontId="50"/>
  </si>
  <si>
    <t>社保計</t>
    <rPh sb="0" eb="2">
      <t>シャホ</t>
    </rPh>
    <rPh sb="2" eb="3">
      <t>ケイ</t>
    </rPh>
    <phoneticPr fontId="50"/>
  </si>
  <si>
    <t>課税対象額</t>
    <rPh sb="0" eb="2">
      <t>カゼイ</t>
    </rPh>
    <rPh sb="2" eb="4">
      <t>タイショウ</t>
    </rPh>
    <rPh sb="4" eb="5">
      <t>ガク</t>
    </rPh>
    <phoneticPr fontId="50"/>
  </si>
  <si>
    <t>所得税</t>
    <rPh sb="0" eb="3">
      <t>ショトクゼイ</t>
    </rPh>
    <phoneticPr fontId="50"/>
  </si>
  <si>
    <t>市町村民税</t>
    <rPh sb="0" eb="3">
      <t>シチョウソン</t>
    </rPh>
    <rPh sb="3" eb="4">
      <t>ミン</t>
    </rPh>
    <rPh sb="4" eb="5">
      <t>ゼイ</t>
    </rPh>
    <phoneticPr fontId="50"/>
  </si>
  <si>
    <t>持株会</t>
    <rPh sb="0" eb="2">
      <t>モチカブ</t>
    </rPh>
    <rPh sb="2" eb="3">
      <t>カイ</t>
    </rPh>
    <phoneticPr fontId="50"/>
  </si>
  <si>
    <t>控除小計</t>
    <rPh sb="0" eb="2">
      <t>コウジョ</t>
    </rPh>
    <rPh sb="2" eb="4">
      <t>ショウケイ</t>
    </rPh>
    <phoneticPr fontId="50"/>
  </si>
  <si>
    <t>●社員給与マスタ</t>
    <rPh sb="1" eb="3">
      <t>シャイン</t>
    </rPh>
    <rPh sb="3" eb="5">
      <t>キュウヨ</t>
    </rPh>
    <phoneticPr fontId="50"/>
  </si>
  <si>
    <t>年次休暇残日数</t>
    <rPh sb="0" eb="2">
      <t>ネンジ</t>
    </rPh>
    <rPh sb="2" eb="4">
      <t>キュウカ</t>
    </rPh>
    <rPh sb="4" eb="5">
      <t>ザン</t>
    </rPh>
    <rPh sb="5" eb="7">
      <t>ニッスウ</t>
    </rPh>
    <phoneticPr fontId="50"/>
  </si>
  <si>
    <t>マスタ!A2:A13</t>
    <phoneticPr fontId="50"/>
  </si>
  <si>
    <t>マスタ!B2:B3</t>
    <phoneticPr fontId="50"/>
  </si>
  <si>
    <t>不要</t>
    <rPh sb="0" eb="2">
      <t>フヨウ</t>
    </rPh>
    <phoneticPr fontId="50"/>
  </si>
  <si>
    <t>月日情報入力</t>
    <rPh sb="0" eb="2">
      <t>ツキヒ</t>
    </rPh>
    <rPh sb="2" eb="4">
      <t>ジョウホウ</t>
    </rPh>
    <rPh sb="4" eb="6">
      <t>ニュウリョク</t>
    </rPh>
    <phoneticPr fontId="3"/>
  </si>
  <si>
    <t>http://133.242.134.145:8080/sib/view/adapter/employee/getemployeelist.html</t>
  </si>
  <si>
    <t>新井　修</t>
  </si>
  <si>
    <t>osamu_arai@sib.co.jp</t>
  </si>
  <si>
    <t>藤本　卓</t>
  </si>
  <si>
    <t>taku_fujimoto@sib.co.jp</t>
  </si>
  <si>
    <t>平　純一</t>
  </si>
  <si>
    <t>junichi_hira@sib.co.jp</t>
  </si>
  <si>
    <r>
      <t>I</t>
    </r>
    <r>
      <rPr>
        <sz val="11"/>
        <color indexed="8"/>
        <rFont val="ＭＳ Ｐゴシック"/>
        <family val="3"/>
        <charset val="128"/>
      </rPr>
      <t>D</t>
    </r>
    <phoneticPr fontId="3"/>
  </si>
  <si>
    <r>
      <t>P</t>
    </r>
    <r>
      <rPr>
        <sz val="11"/>
        <color indexed="8"/>
        <rFont val="ＭＳ Ｐゴシック"/>
        <family val="3"/>
        <charset val="128"/>
      </rPr>
      <t>AS</t>
    </r>
    <phoneticPr fontId="3"/>
  </si>
  <si>
    <r>
      <t>t</t>
    </r>
    <r>
      <rPr>
        <sz val="11"/>
        <color indexed="8"/>
        <rFont val="ＭＳ Ｐゴシック"/>
        <family val="3"/>
        <charset val="128"/>
      </rPr>
      <t>akumigawa</t>
    </r>
    <phoneticPr fontId="3"/>
  </si>
  <si>
    <r>
      <rPr>
        <sz val="11"/>
        <color indexed="8"/>
        <rFont val="ＭＳ Ｐゴシック"/>
        <family val="3"/>
        <charset val="128"/>
      </rPr>
      <t>List</t>
    </r>
    <r>
      <rPr>
        <sz val="11"/>
        <color indexed="8"/>
        <rFont val="ＭＳ Ｐゴシック"/>
        <family val="3"/>
        <charset val="128"/>
      </rPr>
      <t>U</t>
    </r>
    <r>
      <rPr>
        <sz val="11"/>
        <color indexed="8"/>
        <rFont val="ＭＳ Ｐゴシック"/>
        <family val="3"/>
        <charset val="128"/>
      </rPr>
      <t>RL</t>
    </r>
    <phoneticPr fontId="3"/>
  </si>
  <si>
    <t>～</t>
  </si>
  <si>
    <t>5(1)</t>
  </si>
  <si>
    <t>6(2)</t>
  </si>
  <si>
    <t>7(3)</t>
  </si>
  <si>
    <t>8(4)</t>
  </si>
  <si>
    <t>9(5)</t>
  </si>
  <si>
    <t>10(6)</t>
  </si>
  <si>
    <t>11(7)</t>
  </si>
  <si>
    <t>12(8)</t>
  </si>
  <si>
    <t>13(9)</t>
  </si>
  <si>
    <t>14(10)</t>
  </si>
  <si>
    <t>15(11)</t>
  </si>
  <si>
    <t>16(12)</t>
  </si>
  <si>
    <t>17(13)</t>
  </si>
  <si>
    <t>18(14)</t>
  </si>
  <si>
    <t>19(15)</t>
  </si>
  <si>
    <t>20(16)</t>
  </si>
  <si>
    <t>21(17)</t>
  </si>
  <si>
    <t>22(18)</t>
  </si>
  <si>
    <t>23(19)</t>
  </si>
  <si>
    <t>24(20)</t>
  </si>
  <si>
    <t>25(21)</t>
  </si>
  <si>
    <t>26(22)</t>
  </si>
  <si>
    <t>27(23)</t>
  </si>
  <si>
    <t>28(24)</t>
  </si>
  <si>
    <t>29(25)</t>
  </si>
  <si>
    <t>30(26)</t>
  </si>
  <si>
    <t>31(27)</t>
  </si>
  <si>
    <t>32(28)</t>
  </si>
  <si>
    <t>33(29)</t>
  </si>
  <si>
    <t>34(30)</t>
  </si>
  <si>
    <t>等級</t>
    <rPh sb="0" eb="2">
      <t>トウキュウ</t>
    </rPh>
    <phoneticPr fontId="3"/>
  </si>
  <si>
    <t>月額</t>
    <rPh sb="0" eb="2">
      <t>ゲツガク</t>
    </rPh>
    <phoneticPr fontId="3"/>
  </si>
  <si>
    <t>日額</t>
    <rPh sb="0" eb="2">
      <t>ニチガク</t>
    </rPh>
    <phoneticPr fontId="3"/>
  </si>
  <si>
    <t>円以上</t>
    <rPh sb="0" eb="1">
      <t>エン</t>
    </rPh>
    <rPh sb="1" eb="3">
      <t>イジョウ</t>
    </rPh>
    <phoneticPr fontId="3"/>
  </si>
  <si>
    <t>円未満</t>
    <rPh sb="0" eb="1">
      <t>エン</t>
    </rPh>
    <rPh sb="1" eb="3">
      <t>ミマン</t>
    </rPh>
    <phoneticPr fontId="3"/>
  </si>
  <si>
    <t>全額</t>
    <rPh sb="0" eb="2">
      <t>ゼンガク</t>
    </rPh>
    <phoneticPr fontId="3"/>
  </si>
  <si>
    <t>折半</t>
    <rPh sb="0" eb="2">
      <t>セッパン</t>
    </rPh>
    <phoneticPr fontId="3"/>
  </si>
  <si>
    <t>介護保険２号非該当</t>
    <rPh sb="0" eb="2">
      <t>カイゴ</t>
    </rPh>
    <rPh sb="2" eb="4">
      <t>ホケン</t>
    </rPh>
    <rPh sb="5" eb="6">
      <t>ゴウ</t>
    </rPh>
    <rPh sb="6" eb="9">
      <t>ヒガイトウ</t>
    </rPh>
    <phoneticPr fontId="3"/>
  </si>
  <si>
    <t>介護保険２号該当</t>
    <rPh sb="0" eb="2">
      <t>カイゴ</t>
    </rPh>
    <rPh sb="2" eb="4">
      <t>ホケン</t>
    </rPh>
    <rPh sb="5" eb="6">
      <t>ゴウ</t>
    </rPh>
    <rPh sb="6" eb="8">
      <t>ガイトウ</t>
    </rPh>
    <phoneticPr fontId="3"/>
  </si>
  <si>
    <t>一般保険</t>
    <rPh sb="0" eb="2">
      <t>イッパン</t>
    </rPh>
    <rPh sb="2" eb="4">
      <t>ホケン</t>
    </rPh>
    <phoneticPr fontId="3"/>
  </si>
  <si>
    <t>健康保険</t>
    <rPh sb="0" eb="2">
      <t>ケンコウ</t>
    </rPh>
    <rPh sb="2" eb="4">
      <t>ホケン</t>
    </rPh>
    <phoneticPr fontId="3"/>
  </si>
  <si>
    <t>厚生年金</t>
    <rPh sb="0" eb="2">
      <t>コウセイ</t>
    </rPh>
    <rPh sb="2" eb="4">
      <t>ネンキン</t>
    </rPh>
    <phoneticPr fontId="3"/>
  </si>
  <si>
    <t>2号該当</t>
    <rPh sb="1" eb="2">
      <t>ゴウ</t>
    </rPh>
    <rPh sb="2" eb="4">
      <t>ガイトウ</t>
    </rPh>
    <phoneticPr fontId="3"/>
  </si>
  <si>
    <t>ランク</t>
    <phoneticPr fontId="3"/>
  </si>
  <si>
    <t>新井修</t>
    <rPh sb="0" eb="2">
      <t>アライ</t>
    </rPh>
    <rPh sb="2" eb="3">
      <t>オサム</t>
    </rPh>
    <phoneticPr fontId="3"/>
  </si>
  <si>
    <t>●</t>
    <phoneticPr fontId="3"/>
  </si>
  <si>
    <t>平純一</t>
    <rPh sb="0" eb="1">
      <t>ヒラ</t>
    </rPh>
    <rPh sb="1" eb="3">
      <t>ジュンイチ</t>
    </rPh>
    <phoneticPr fontId="3"/>
  </si>
  <si>
    <t>岩下泰司</t>
    <rPh sb="0" eb="2">
      <t>イワシタ</t>
    </rPh>
    <rPh sb="2" eb="4">
      <t>タイジ</t>
    </rPh>
    <phoneticPr fontId="3"/>
  </si>
  <si>
    <t>佐藤圭</t>
    <rPh sb="0" eb="2">
      <t>サトウ</t>
    </rPh>
    <rPh sb="2" eb="3">
      <t>ケイ</t>
    </rPh>
    <phoneticPr fontId="3"/>
  </si>
  <si>
    <t>通勤手当</t>
    <rPh sb="0" eb="2">
      <t>ツウキン</t>
    </rPh>
    <rPh sb="2" eb="4">
      <t>テアテ</t>
    </rPh>
    <phoneticPr fontId="3"/>
  </si>
  <si>
    <t>雇用保険利率</t>
    <rPh sb="0" eb="2">
      <t>コヨウ</t>
    </rPh>
    <rPh sb="2" eb="4">
      <t>ホケン</t>
    </rPh>
    <rPh sb="4" eb="6">
      <t>リリツ</t>
    </rPh>
    <phoneticPr fontId="3"/>
  </si>
  <si>
    <t>藤本卓</t>
    <rPh sb="0" eb="2">
      <t>フジモト</t>
    </rPh>
    <rPh sb="2" eb="3">
      <t>タク</t>
    </rPh>
    <phoneticPr fontId="3"/>
  </si>
  <si>
    <t>・・・計算セル</t>
    <rPh sb="3" eb="5">
      <t>ケイサン</t>
    </rPh>
    <phoneticPr fontId="3"/>
  </si>
  <si>
    <t>・・・ＤＢ参照セル</t>
    <rPh sb="5" eb="7">
      <t>サンショウ</t>
    </rPh>
    <phoneticPr fontId="3"/>
  </si>
  <si>
    <t>配偶者控除の額</t>
  </si>
  <si>
    <t>基礎控除の額</t>
  </si>
  <si>
    <t>不要人数</t>
    <rPh sb="0" eb="2">
      <t>フヨウ</t>
    </rPh>
    <rPh sb="2" eb="4">
      <t>ニンズウ</t>
    </rPh>
    <phoneticPr fontId="3"/>
  </si>
  <si>
    <t>佐藤圭</t>
  </si>
  <si>
    <t>kei_satou@sib.co.jp</t>
  </si>
  <si>
    <t>岩下　泰始</t>
  </si>
  <si>
    <t>taiji_iwasita@sib.co.jp</t>
  </si>
  <si>
    <t>高橋　辰典</t>
  </si>
  <si>
    <t>tatunori_takahasi@sib.co.jp</t>
  </si>
  <si>
    <t>北川　陽三</t>
  </si>
  <si>
    <t>控除算出行</t>
    <rPh sb="0" eb="2">
      <t>コウジョ</t>
    </rPh>
    <rPh sb="2" eb="4">
      <t>サンシュツ</t>
    </rPh>
    <rPh sb="4" eb="5">
      <t>ギョウ</t>
    </rPh>
    <phoneticPr fontId="3"/>
  </si>
  <si>
    <t>控除額</t>
    <rPh sb="0" eb="2">
      <t>コウジョ</t>
    </rPh>
    <rPh sb="2" eb="3">
      <t>ガク</t>
    </rPh>
    <phoneticPr fontId="3"/>
  </si>
  <si>
    <t>扶養基礎控除額</t>
    <rPh sb="0" eb="2">
      <t>フヨウ</t>
    </rPh>
    <rPh sb="2" eb="4">
      <t>キソ</t>
    </rPh>
    <rPh sb="4" eb="6">
      <t>コウジョ</t>
    </rPh>
    <rPh sb="6" eb="7">
      <t>ガク</t>
    </rPh>
    <phoneticPr fontId="3"/>
  </si>
  <si>
    <t>源泉対象額</t>
    <rPh sb="0" eb="2">
      <t>ゲンセン</t>
    </rPh>
    <rPh sb="2" eb="4">
      <t>タイショウ</t>
    </rPh>
    <rPh sb="4" eb="5">
      <t>ガク</t>
    </rPh>
    <phoneticPr fontId="3"/>
  </si>
  <si>
    <t>源泉算出行</t>
    <rPh sb="0" eb="2">
      <t>ゲンセン</t>
    </rPh>
    <rPh sb="2" eb="4">
      <t>サンシュツ</t>
    </rPh>
    <rPh sb="4" eb="5">
      <t>ギョウ</t>
    </rPh>
    <phoneticPr fontId="3"/>
  </si>
  <si>
    <t>源泉徴収額</t>
    <rPh sb="0" eb="2">
      <t>ゲンセン</t>
    </rPh>
    <rPh sb="2" eb="4">
      <t>チョウシュウ</t>
    </rPh>
    <rPh sb="4" eb="5">
      <t>ガク</t>
    </rPh>
    <phoneticPr fontId="3"/>
  </si>
  <si>
    <t>～以下</t>
    <rPh sb="1" eb="3">
      <t>イカ</t>
    </rPh>
    <phoneticPr fontId="3"/>
  </si>
  <si>
    <t>％</t>
    <phoneticPr fontId="3"/>
  </si>
  <si>
    <t>基礎金額</t>
    <rPh sb="0" eb="2">
      <t>キソ</t>
    </rPh>
    <rPh sb="2" eb="4">
      <t>キンガク</t>
    </rPh>
    <phoneticPr fontId="3"/>
  </si>
  <si>
    <t>%</t>
    <phoneticPr fontId="3"/>
  </si>
  <si>
    <t>●控除金額算定表</t>
    <rPh sb="1" eb="3">
      <t>コウジョ</t>
    </rPh>
    <rPh sb="3" eb="5">
      <t>キンガク</t>
    </rPh>
    <rPh sb="5" eb="7">
      <t>サンテイ</t>
    </rPh>
    <rPh sb="7" eb="8">
      <t>ヒョウ</t>
    </rPh>
    <phoneticPr fontId="3"/>
  </si>
  <si>
    <t>●配偶者、基礎控除額</t>
    <rPh sb="1" eb="4">
      <t>ハイグウシャ</t>
    </rPh>
    <rPh sb="5" eb="7">
      <t>キソ</t>
    </rPh>
    <rPh sb="7" eb="9">
      <t>コウジョ</t>
    </rPh>
    <rPh sb="9" eb="10">
      <t>ガク</t>
    </rPh>
    <phoneticPr fontId="3"/>
  </si>
  <si>
    <t>●源泉徴収算定表</t>
    <rPh sb="1" eb="3">
      <t>ゲンセン</t>
    </rPh>
    <rPh sb="3" eb="5">
      <t>チョウシュウ</t>
    </rPh>
    <rPh sb="5" eb="7">
      <t>サンテイ</t>
    </rPh>
    <rPh sb="7" eb="8">
      <t>ヒョウ</t>
    </rPh>
    <phoneticPr fontId="3"/>
  </si>
  <si>
    <t>http://133.242.134.145:8080/SPP/view/setpayadvice/setpayadvice.html</t>
    <phoneticPr fontId="3"/>
  </si>
  <si>
    <t>http://133.242.134.145:8080/SPP/view/sendpayadvice/sendpayadvice.html</t>
    <phoneticPr fontId="3"/>
  </si>
  <si>
    <t>社員ID</t>
    <rPh sb="0" eb="2">
      <t>シャイン</t>
    </rPh>
    <phoneticPr fontId="50"/>
  </si>
  <si>
    <t>attendancedday</t>
  </si>
  <si>
    <t>dependent</t>
  </si>
  <si>
    <t>扶養</t>
    <rPh sb="0" eb="2">
      <t>フヨウ</t>
    </rPh>
    <phoneticPr fontId="3"/>
  </si>
  <si>
    <t>empID</t>
    <phoneticPr fontId="3"/>
  </si>
  <si>
    <t>empName</t>
  </si>
  <si>
    <t>sendMail</t>
  </si>
  <si>
    <t>wrokinghours</t>
  </si>
  <si>
    <t>absentdays</t>
  </si>
  <si>
    <t>useannoaldyas</t>
  </si>
  <si>
    <t>sumnnervacation</t>
  </si>
  <si>
    <t>base</t>
  </si>
  <si>
    <t>syaho</t>
  </si>
  <si>
    <t>teiki</t>
  </si>
  <si>
    <t>tuukinn</t>
  </si>
  <si>
    <t>nontax</t>
  </si>
  <si>
    <t>kenho</t>
  </si>
  <si>
    <t>kounenn</t>
  </si>
  <si>
    <t>koyoho</t>
  </si>
  <si>
    <t>syotax</t>
  </si>
  <si>
    <t>citytax</t>
  </si>
  <si>
    <t>nonusedannualdays</t>
  </si>
  <si>
    <t>PostURL</t>
    <phoneticPr fontId="3"/>
  </si>
  <si>
    <t>SendURL</t>
    <phoneticPr fontId="3"/>
  </si>
  <si>
    <t>●SIB社員供与明細　一覧</t>
    <rPh sb="4" eb="6">
      <t>シャイン</t>
    </rPh>
    <rPh sb="6" eb="8">
      <t>キョウヨ</t>
    </rPh>
    <rPh sb="8" eb="10">
      <t>メイサイ</t>
    </rPh>
    <rPh sb="11" eb="13">
      <t>イチラン</t>
    </rPh>
    <phoneticPr fontId="3"/>
  </si>
  <si>
    <t>2013年3月度</t>
    <rPh sb="4" eb="5">
      <t>ネン</t>
    </rPh>
    <rPh sb="6" eb="7">
      <t>ガツ</t>
    </rPh>
    <rPh sb="7" eb="8">
      <t>ド</t>
    </rPh>
    <phoneticPr fontId="3"/>
  </si>
  <si>
    <t>youzo_kitagawa@sib.co.jp</t>
  </si>
  <si>
    <t>調整金</t>
    <rPh sb="0" eb="2">
      <t>チョウセイ</t>
    </rPh>
    <rPh sb="2" eb="3">
      <t>キン</t>
    </rPh>
    <phoneticPr fontId="50"/>
  </si>
  <si>
    <t>手取り支給額</t>
    <rPh sb="0" eb="2">
      <t>テド</t>
    </rPh>
    <rPh sb="3" eb="6">
      <t>シキュウガク</t>
    </rPh>
    <phoneticPr fontId="50"/>
  </si>
  <si>
    <t>最終支給額</t>
    <rPh sb="0" eb="2">
      <t>サイシュウ</t>
    </rPh>
    <rPh sb="2" eb="5">
      <t>シキュウガク</t>
    </rPh>
    <phoneticPr fontId="50"/>
  </si>
  <si>
    <t>発行</t>
    <phoneticPr fontId="50"/>
  </si>
  <si>
    <t>高橋辰典</t>
    <rPh sb="0" eb="2">
      <t>タカハシ</t>
    </rPh>
    <rPh sb="2" eb="4">
      <t>タツノリ</t>
    </rPh>
    <phoneticPr fontId="3"/>
  </si>
  <si>
    <t>北川陽三</t>
    <rPh sb="0" eb="2">
      <t>キタガワ</t>
    </rPh>
    <rPh sb="2" eb="4">
      <t>ヨウゾウ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</si>
</sst>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6" formatCode="&quot;¥&quot;#,##0;[Red]&quot;¥&quot;\-#,##0"/>
    <numFmt numFmtId="41" formatCode="_ * #,##0_ ;_ * \-#,##0_ ;_ * &quot;-&quot;_ ;_ @_ "/>
    <numFmt numFmtId="43" formatCode="_ * #,##0.00_ ;_ * \-#,##0.00_ ;_ * &quot;-&quot;??_ ;_ @_ "/>
    <numFmt numFmtId="176" formatCode=";;;"/>
    <numFmt numFmtId="177" formatCode="[$-411]&quot;第Ｍ&quot;ge\!\nee\!\a\!\l&quot;号&quot;"/>
    <numFmt numFmtId="178" formatCode="#,##0.0&quot;人日&quot;"/>
    <numFmt numFmtId="179" formatCode="&quot;¥&quot;#,##0.\-;[Red]\-&quot;¥&quot;#,##0.\-"/>
    <numFmt numFmtId="180" formatCode="&quot;@&quot;#,##0"/>
    <numFmt numFmtId="181" formatCode="#,##0&quot;分間&quot;"/>
    <numFmt numFmtId="182" formatCode="#,##0&quot;時間&quot;"/>
    <numFmt numFmtId="183" formatCode="&quot;月額&quot;#,##0&quot;円&quot;"/>
    <numFmt numFmtId="184" formatCode="#,##0.0&quot;人月&quot;"/>
    <numFmt numFmtId="185" formatCode="&quot;¥&quot;#,##0.0000000_);[Red]\(&quot;¥&quot;#,##0.0000000\)"/>
    <numFmt numFmtId="186" formatCode="#,##0;\-#,##0;&quot;-&quot;"/>
    <numFmt numFmtId="187" formatCode="#,##0.000;[Red]\-#,##0.000"/>
    <numFmt numFmtId="188" formatCode="d&quot;¥&quot;&quot;¥&quot;\.mmm&quot;¥&quot;&quot;¥&quot;\.yy"/>
    <numFmt numFmtId="189" formatCode="#,##0;[Red]&quot;¥&quot;&quot;¥&quot;\(#,##0&quot;¥&quot;&quot;¥&quot;\)"/>
    <numFmt numFmtId="190" formatCode="_-* #,##0_-;&quot;¥&quot;&quot;¥&quot;\-* #,##0_-;_-* &quot;-&quot;??_-;_-@_-"/>
    <numFmt numFmtId="191" formatCode="&quot;｣&quot;#,##0;&quot;¥&quot;&quot;¥&quot;\-&quot;｣&quot;#,##0"/>
    <numFmt numFmtId="192" formatCode="&quot;｣&quot;#,##0.00;&quot;¥&quot;&quot;¥&quot;\-&quot;｣&quot;#,##0.00"/>
    <numFmt numFmtId="193" formatCode="&quot;$&quot;#,##0.00_);[Red]\(&quot;$&quot;#,##0.00\)"/>
    <numFmt numFmtId="194" formatCode="&quot;$&quot;#,##0_);[Red]\(&quot;$&quot;#,##0\)"/>
    <numFmt numFmtId="195" formatCode="0&quot;年&quot;"/>
    <numFmt numFmtId="196" formatCode="0\ &quot;月&quot;"/>
    <numFmt numFmtId="197" formatCode="0000"/>
    <numFmt numFmtId="198" formatCode="0.0%"/>
    <numFmt numFmtId="199" formatCode="#,##0_ ;[Red]\-#,##0\ "/>
  </numFmts>
  <fonts count="60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8"/>
      <name val="Times New Roman"/>
      <family val="1"/>
    </font>
    <font>
      <sz val="10"/>
      <color indexed="8"/>
      <name val="Arial"/>
      <family val="2"/>
    </font>
    <font>
      <sz val="12"/>
      <name val="Tms Rmn"/>
      <family val="1"/>
    </font>
    <font>
      <sz val="12"/>
      <name val="ＭＳ ゴシック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22"/>
      <name val="ＭＳ 明朝"/>
      <family val="1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4"/>
      <name val="明朝"/>
      <family val="1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8"/>
      <name val="明朝"/>
      <family val="1"/>
      <charset val="128"/>
    </font>
    <font>
      <sz val="10"/>
      <name val="明朝"/>
      <family val="1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sz val="14"/>
      <name val="ＭＳ 明朝"/>
      <family val="1"/>
      <charset val="128"/>
    </font>
    <font>
      <sz val="11"/>
      <name val="ＭＳ 明朝"/>
      <family val="1"/>
      <charset val="128"/>
    </font>
    <font>
      <sz val="10"/>
      <name val="ＭＳ 明朝"/>
      <family val="1"/>
      <charset val="128"/>
    </font>
    <font>
      <b/>
      <sz val="11"/>
      <color indexed="63"/>
      <name val="ＭＳ Ｐゴシック"/>
      <family val="3"/>
      <charset val="128"/>
    </font>
    <font>
      <sz val="11"/>
      <name val="明朝"/>
      <family val="1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indexed="10"/>
      <name val="明朝"/>
      <family val="1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u/>
      <sz val="11"/>
      <color theme="1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sz val="16"/>
      <color theme="1"/>
      <name val="ＭＳ Ｐゴシック"/>
      <family val="3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317">
    <xf numFmtId="0" fontId="0" fillId="0" borderId="0"/>
    <xf numFmtId="0" fontId="4" fillId="0" borderId="0"/>
    <xf numFmtId="0" fontId="5" fillId="0" borderId="1">
      <alignment vertical="center"/>
    </xf>
    <xf numFmtId="188" fontId="4" fillId="0" borderId="2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0" borderId="0">
      <alignment horizontal="center" wrapText="1"/>
      <protection locked="0"/>
    </xf>
    <xf numFmtId="186" fontId="9" fillId="0" borderId="0" applyFill="0" applyBorder="0" applyAlignment="0"/>
    <xf numFmtId="0" fontId="10" fillId="0" borderId="0" applyNumberFormat="0" applyFont="0" applyFill="0" applyBorder="0">
      <alignment vertical="center" wrapText="1"/>
    </xf>
    <xf numFmtId="0" fontId="10" fillId="0" borderId="0" applyFont="0" applyFill="0" applyBorder="0">
      <alignment vertical="center"/>
    </xf>
    <xf numFmtId="0" fontId="11" fillId="0" borderId="0" applyNumberFormat="0" applyFont="0" applyBorder="0" applyAlignment="0" applyProtection="0"/>
    <xf numFmtId="0" fontId="12" fillId="0" borderId="0">
      <alignment horizontal="left"/>
    </xf>
    <xf numFmtId="38" fontId="13" fillId="11" borderId="0" applyNumberFormat="0" applyBorder="0" applyAlignment="0" applyProtection="0"/>
    <xf numFmtId="0" fontId="14" fillId="12" borderId="0"/>
    <xf numFmtId="0" fontId="15" fillId="0" borderId="3" applyNumberFormat="0" applyAlignment="0" applyProtection="0">
      <alignment horizontal="left" vertical="center"/>
    </xf>
    <xf numFmtId="0" fontId="15" fillId="0" borderId="4">
      <alignment horizontal="left" vertical="center"/>
    </xf>
    <xf numFmtId="10" fontId="13" fillId="13" borderId="2" applyNumberFormat="0" applyBorder="0" applyAlignment="0" applyProtection="0"/>
    <xf numFmtId="189" fontId="4" fillId="0" borderId="0" applyFont="0" applyFill="0" applyBorder="0" applyAlignment="0" applyProtection="0"/>
    <xf numFmtId="190" fontId="4" fillId="0" borderId="0" applyFont="0" applyFill="0" applyBorder="0" applyAlignment="0" applyProtection="0"/>
    <xf numFmtId="185" fontId="4" fillId="0" borderId="0"/>
    <xf numFmtId="0" fontId="16" fillId="0" borderId="0"/>
    <xf numFmtId="0" fontId="4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4" fontId="8" fillId="0" borderId="0">
      <alignment horizontal="center" wrapText="1"/>
      <protection locked="0"/>
    </xf>
    <xf numFmtId="10" fontId="16" fillId="0" borderId="0" applyFont="0" applyFill="0" applyBorder="0" applyAlignment="0" applyProtection="0"/>
    <xf numFmtId="4" fontId="12" fillId="0" borderId="0">
      <alignment horizontal="right"/>
    </xf>
    <xf numFmtId="0" fontId="17" fillId="0" borderId="0" applyNumberFormat="0" applyFont="0" applyFill="0" applyBorder="0" applyAlignment="0" applyProtection="0">
      <alignment horizontal="left"/>
    </xf>
    <xf numFmtId="0" fontId="18" fillId="0" borderId="5">
      <alignment horizontal="center"/>
    </xf>
    <xf numFmtId="4" fontId="19" fillId="0" borderId="0">
      <alignment horizontal="right"/>
    </xf>
    <xf numFmtId="0" fontId="20" fillId="0" borderId="0">
      <alignment horizontal="left"/>
    </xf>
    <xf numFmtId="0" fontId="17" fillId="0" borderId="0"/>
    <xf numFmtId="0" fontId="21" fillId="0" borderId="0"/>
    <xf numFmtId="0" fontId="22" fillId="0" borderId="0">
      <alignment horizontal="center"/>
    </xf>
    <xf numFmtId="191" fontId="4" fillId="0" borderId="0" applyFont="0" applyFill="0" applyBorder="0" applyAlignment="0" applyProtection="0"/>
    <xf numFmtId="192" fontId="4" fillId="0" borderId="0" applyFont="0" applyFill="0" applyBorder="0" applyAlignment="0" applyProtection="0"/>
    <xf numFmtId="0" fontId="7" fillId="10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23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18" borderId="6" applyNumberFormat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10" fontId="2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0" fontId="53" fillId="0" borderId="0" applyNumberFormat="0" applyFill="0" applyBorder="0" applyAlignment="0" applyProtection="0"/>
    <xf numFmtId="0" fontId="4" fillId="4" borderId="7" applyNumberFormat="0" applyFont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30" fillId="7" borderId="9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1" fontId="32" fillId="0" borderId="0" applyFont="0" applyFill="0" applyBorder="0" applyAlignment="0" applyProtection="0"/>
    <xf numFmtId="176" fontId="33" fillId="0" borderId="1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183" fontId="34" fillId="0" borderId="0" applyFont="0" applyFill="0" applyBorder="0" applyProtection="0">
      <alignment vertical="center"/>
    </xf>
    <xf numFmtId="58" fontId="34" fillId="0" borderId="11" applyFill="0" applyBorder="0" applyProtection="0">
      <alignment horizontal="right" vertical="center"/>
    </xf>
    <xf numFmtId="0" fontId="35" fillId="0" borderId="12" applyNumberFormat="0" applyFill="0" applyAlignment="0" applyProtection="0">
      <alignment vertical="center"/>
    </xf>
    <xf numFmtId="0" fontId="36" fillId="0" borderId="13" applyNumberFormat="0" applyFill="0" applyAlignment="0" applyProtection="0">
      <alignment vertical="center"/>
    </xf>
    <xf numFmtId="0" fontId="37" fillId="0" borderId="14" applyNumberFormat="0" applyFill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/>
    <xf numFmtId="0" fontId="39" fillId="0" borderId="0">
      <alignment vertical="center"/>
    </xf>
    <xf numFmtId="182" fontId="40" fillId="0" borderId="0" applyFont="0" applyFill="0" applyBorder="0" applyAlignment="0" applyProtection="0">
      <alignment vertical="center"/>
    </xf>
    <xf numFmtId="0" fontId="30" fillId="2" borderId="9" applyNumberFormat="0" applyAlignment="0" applyProtection="0">
      <alignment vertical="center"/>
    </xf>
    <xf numFmtId="0" fontId="41" fillId="2" borderId="15" applyNumberFormat="0" applyAlignment="0" applyProtection="0">
      <alignment vertical="center"/>
    </xf>
    <xf numFmtId="184" fontId="42" fillId="0" borderId="0"/>
    <xf numFmtId="178" fontId="42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193" fontId="17" fillId="0" borderId="0" applyFont="0" applyFill="0" applyBorder="0" applyAlignment="0" applyProtection="0"/>
    <xf numFmtId="194" fontId="17" fillId="0" borderId="0" applyFont="0" applyFill="0" applyBorder="0" applyAlignment="0" applyProtection="0"/>
    <xf numFmtId="180" fontId="34" fillId="0" borderId="0" applyFont="0" applyFill="0" applyBorder="0" applyAlignment="0" applyProtection="0">
      <alignment vertical="center"/>
    </xf>
    <xf numFmtId="6" fontId="4" fillId="0" borderId="0" applyFont="0" applyFill="0" applyBorder="0" applyAlignment="0" applyProtection="0"/>
    <xf numFmtId="179" fontId="34" fillId="0" borderId="16" applyBorder="0">
      <alignment vertical="center"/>
    </xf>
    <xf numFmtId="0" fontId="44" fillId="6" borderId="9" applyNumberFormat="0" applyAlignment="0" applyProtection="0">
      <alignment vertical="center"/>
    </xf>
    <xf numFmtId="58" fontId="34" fillId="0" borderId="0" applyFill="0" applyBorder="0" applyProtection="0">
      <alignment vertical="center"/>
      <protection locked="0"/>
    </xf>
    <xf numFmtId="187" fontId="42" fillId="0" borderId="17" applyNumberFormat="0" applyFont="0" applyAlignment="0" applyProtection="0"/>
    <xf numFmtId="177" fontId="3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" fillId="0" borderId="0">
      <alignment vertical="center"/>
    </xf>
    <xf numFmtId="0" fontId="2" fillId="0" borderId="0">
      <alignment vertical="center"/>
    </xf>
    <xf numFmtId="0" fontId="5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1" fontId="40" fillId="0" borderId="0" applyFont="0" applyFill="0" applyBorder="0" applyAlignment="0" applyProtection="0">
      <alignment vertical="center"/>
    </xf>
    <xf numFmtId="1" fontId="38" fillId="0" borderId="0"/>
    <xf numFmtId="0" fontId="45" fillId="20" borderId="0" applyNumberFormat="0" applyBorder="0" applyAlignment="0" applyProtection="0">
      <alignment vertical="center"/>
    </xf>
    <xf numFmtId="0" fontId="46" fillId="0" borderId="0">
      <alignment vertical="center"/>
    </xf>
    <xf numFmtId="0" fontId="56" fillId="0" borderId="0" applyNumberForma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6" fontId="2" fillId="0" borderId="0" applyFont="0" applyFill="0" applyBorder="0" applyAlignment="0" applyProtection="0">
      <alignment vertical="center"/>
    </xf>
  </cellStyleXfs>
  <cellXfs count="147">
    <xf numFmtId="0" fontId="0" fillId="0" borderId="0" xfId="0"/>
    <xf numFmtId="0" fontId="54" fillId="0" borderId="0" xfId="209"/>
    <xf numFmtId="0" fontId="52" fillId="21" borderId="18" xfId="209" applyFont="1" applyFill="1" applyBorder="1" applyAlignment="1">
      <alignment horizontal="center" vertical="center" shrinkToFit="1"/>
    </xf>
    <xf numFmtId="0" fontId="52" fillId="21" borderId="19" xfId="209" applyFont="1" applyFill="1" applyBorder="1" applyAlignment="1">
      <alignment horizontal="center" vertical="center" shrinkToFit="1"/>
    </xf>
    <xf numFmtId="0" fontId="52" fillId="21" borderId="20" xfId="209" applyFont="1" applyFill="1" applyBorder="1" applyAlignment="1">
      <alignment horizontal="center" vertical="center" shrinkToFit="1"/>
    </xf>
    <xf numFmtId="0" fontId="52" fillId="11" borderId="19" xfId="209" applyFont="1" applyFill="1" applyBorder="1" applyAlignment="1">
      <alignment horizontal="center" vertical="center" shrinkToFit="1"/>
    </xf>
    <xf numFmtId="0" fontId="52" fillId="11" borderId="20" xfId="209" applyFont="1" applyFill="1" applyBorder="1" applyAlignment="1">
      <alignment horizontal="center" vertical="center" shrinkToFit="1"/>
    </xf>
    <xf numFmtId="0" fontId="54" fillId="0" borderId="21" xfId="209" applyBorder="1"/>
    <xf numFmtId="0" fontId="53" fillId="0" borderId="22" xfId="165" applyBorder="1"/>
    <xf numFmtId="0" fontId="54" fillId="0" borderId="23" xfId="209" applyBorder="1"/>
    <xf numFmtId="38" fontId="0" fillId="0" borderId="24" xfId="177" applyFont="1" applyBorder="1" applyAlignment="1"/>
    <xf numFmtId="38" fontId="0" fillId="0" borderId="21" xfId="177" applyFont="1" applyBorder="1" applyAlignment="1"/>
    <xf numFmtId="38" fontId="0" fillId="0" borderId="22" xfId="177" applyFont="1" applyBorder="1" applyAlignment="1"/>
    <xf numFmtId="38" fontId="0" fillId="11" borderId="21" xfId="177" applyFont="1" applyFill="1" applyBorder="1" applyAlignment="1"/>
    <xf numFmtId="38" fontId="0" fillId="11" borderId="22" xfId="177" applyFont="1" applyFill="1" applyBorder="1" applyAlignment="1"/>
    <xf numFmtId="0" fontId="54" fillId="0" borderId="25" xfId="209" applyBorder="1"/>
    <xf numFmtId="0" fontId="54" fillId="0" borderId="26" xfId="209" applyBorder="1"/>
    <xf numFmtId="0" fontId="54" fillId="0" borderId="2" xfId="209" applyBorder="1"/>
    <xf numFmtId="38" fontId="0" fillId="0" borderId="27" xfId="177" applyFont="1" applyBorder="1" applyAlignment="1"/>
    <xf numFmtId="38" fontId="0" fillId="0" borderId="25" xfId="177" applyFont="1" applyBorder="1" applyAlignment="1"/>
    <xf numFmtId="38" fontId="0" fillId="0" borderId="26" xfId="177" applyFont="1" applyBorder="1" applyAlignment="1"/>
    <xf numFmtId="38" fontId="0" fillId="11" borderId="25" xfId="177" applyFont="1" applyFill="1" applyBorder="1" applyAlignment="1"/>
    <xf numFmtId="38" fontId="0" fillId="11" borderId="26" xfId="177" applyFont="1" applyFill="1" applyBorder="1" applyAlignment="1"/>
    <xf numFmtId="38" fontId="0" fillId="0" borderId="23" xfId="177" applyFont="1" applyBorder="1" applyAlignment="1"/>
    <xf numFmtId="38" fontId="0" fillId="0" borderId="2" xfId="177" applyFont="1" applyBorder="1" applyAlignment="1"/>
    <xf numFmtId="196" fontId="54" fillId="0" borderId="2" xfId="209" applyNumberFormat="1" applyBorder="1"/>
    <xf numFmtId="195" fontId="54" fillId="0" borderId="23" xfId="209" applyNumberFormat="1" applyBorder="1"/>
    <xf numFmtId="197" fontId="54" fillId="0" borderId="24" xfId="209" applyNumberFormat="1" applyBorder="1"/>
    <xf numFmtId="197" fontId="54" fillId="0" borderId="27" xfId="209" applyNumberFormat="1" applyBorder="1"/>
    <xf numFmtId="0" fontId="54" fillId="0" borderId="0" xfId="209" applyFill="1"/>
    <xf numFmtId="0" fontId="49" fillId="0" borderId="0" xfId="209" applyFont="1"/>
    <xf numFmtId="0" fontId="1" fillId="0" borderId="0" xfId="209" applyFont="1"/>
    <xf numFmtId="0" fontId="56" fillId="0" borderId="0" xfId="313"/>
    <xf numFmtId="40" fontId="0" fillId="0" borderId="27" xfId="177" applyNumberFormat="1" applyFont="1" applyBorder="1" applyAlignment="1"/>
    <xf numFmtId="0" fontId="54" fillId="0" borderId="23" xfId="209" applyBorder="1" applyAlignment="1">
      <alignment horizontal="center"/>
    </xf>
    <xf numFmtId="0" fontId="54" fillId="0" borderId="2" xfId="209" applyBorder="1" applyAlignment="1">
      <alignment horizontal="center"/>
    </xf>
    <xf numFmtId="4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right"/>
    </xf>
    <xf numFmtId="3" fontId="0" fillId="0" borderId="2" xfId="0" applyNumberFormat="1" applyBorder="1"/>
    <xf numFmtId="4" fontId="0" fillId="0" borderId="2" xfId="0" applyNumberFormat="1" applyBorder="1"/>
    <xf numFmtId="0" fontId="0" fillId="0" borderId="23" xfId="0" applyBorder="1" applyAlignment="1">
      <alignment horizontal="right"/>
    </xf>
    <xf numFmtId="3" fontId="0" fillId="0" borderId="23" xfId="0" applyNumberFormat="1" applyBorder="1"/>
    <xf numFmtId="0" fontId="0" fillId="0" borderId="23" xfId="0" applyBorder="1" applyAlignment="1">
      <alignment horizontal="center"/>
    </xf>
    <xf numFmtId="0" fontId="0" fillId="23" borderId="28" xfId="0" applyFill="1" applyBorder="1" applyAlignment="1">
      <alignment horizontal="center"/>
    </xf>
    <xf numFmtId="0" fontId="0" fillId="23" borderId="18" xfId="0" applyFill="1" applyBorder="1" applyAlignment="1">
      <alignment horizontal="center"/>
    </xf>
    <xf numFmtId="0" fontId="0" fillId="23" borderId="20" xfId="0" applyFill="1" applyBorder="1" applyAlignment="1">
      <alignment horizontal="center"/>
    </xf>
    <xf numFmtId="4" fontId="0" fillId="0" borderId="24" xfId="0" applyNumberFormat="1" applyBorder="1"/>
    <xf numFmtId="4" fontId="0" fillId="0" borderId="22" xfId="0" applyNumberFormat="1" applyBorder="1"/>
    <xf numFmtId="4" fontId="0" fillId="0" borderId="27" xfId="0" applyNumberFormat="1" applyBorder="1"/>
    <xf numFmtId="4" fontId="0" fillId="0" borderId="26" xfId="0" applyNumberFormat="1" applyBorder="1"/>
    <xf numFmtId="0" fontId="0" fillId="0" borderId="26" xfId="0" applyBorder="1"/>
    <xf numFmtId="0" fontId="0" fillId="0" borderId="24" xfId="0" applyBorder="1"/>
    <xf numFmtId="0" fontId="0" fillId="0" borderId="22" xfId="0" applyBorder="1"/>
    <xf numFmtId="0" fontId="0" fillId="0" borderId="27" xfId="0" applyBorder="1"/>
    <xf numFmtId="38" fontId="0" fillId="0" borderId="23" xfId="177" applyFont="1" applyFill="1" applyBorder="1" applyAlignment="1"/>
    <xf numFmtId="38" fontId="0" fillId="0" borderId="2" xfId="177" applyFont="1" applyFill="1" applyBorder="1" applyAlignment="1"/>
    <xf numFmtId="0" fontId="52" fillId="24" borderId="19" xfId="209" applyFont="1" applyFill="1" applyBorder="1" applyAlignment="1">
      <alignment horizontal="center" vertical="center" shrinkToFit="1"/>
    </xf>
    <xf numFmtId="38" fontId="0" fillId="24" borderId="21" xfId="177" applyFont="1" applyFill="1" applyBorder="1" applyAlignment="1"/>
    <xf numFmtId="38" fontId="0" fillId="24" borderId="25" xfId="177" applyFont="1" applyFill="1" applyBorder="1" applyAlignment="1"/>
    <xf numFmtId="0" fontId="52" fillId="24" borderId="18" xfId="209" applyFont="1" applyFill="1" applyBorder="1" applyAlignment="1">
      <alignment horizontal="center" vertical="center" shrinkToFit="1"/>
    </xf>
    <xf numFmtId="38" fontId="0" fillId="24" borderId="24" xfId="177" applyFont="1" applyFill="1" applyBorder="1" applyAlignment="1"/>
    <xf numFmtId="38" fontId="0" fillId="24" borderId="27" xfId="177" applyFont="1" applyFill="1" applyBorder="1" applyAlignment="1"/>
    <xf numFmtId="198" fontId="54" fillId="0" borderId="0" xfId="314" applyNumberFormat="1" applyFont="1" applyAlignment="1"/>
    <xf numFmtId="0" fontId="54" fillId="24" borderId="0" xfId="209" applyFill="1"/>
    <xf numFmtId="0" fontId="54" fillId="25" borderId="0" xfId="209" applyFill="1"/>
    <xf numFmtId="3" fontId="0" fillId="0" borderId="0" xfId="0" applyNumberFormat="1"/>
    <xf numFmtId="38" fontId="0" fillId="25" borderId="22" xfId="177" applyFont="1" applyFill="1" applyBorder="1" applyAlignment="1"/>
    <xf numFmtId="38" fontId="0" fillId="25" borderId="26" xfId="177" applyFont="1" applyFill="1" applyBorder="1" applyAlignment="1"/>
    <xf numFmtId="38" fontId="0" fillId="0" borderId="0" xfId="315" applyFont="1" applyAlignment="1"/>
    <xf numFmtId="38" fontId="0" fillId="0" borderId="0" xfId="0" applyNumberFormat="1"/>
    <xf numFmtId="199" fontId="0" fillId="0" borderId="0" xfId="0" applyNumberFormat="1"/>
    <xf numFmtId="0" fontId="0" fillId="0" borderId="2" xfId="0" applyBorder="1"/>
    <xf numFmtId="9" fontId="0" fillId="0" borderId="2" xfId="0" applyNumberFormat="1" applyBorder="1"/>
    <xf numFmtId="9" fontId="0" fillId="0" borderId="23" xfId="0" applyNumberFormat="1" applyBorder="1"/>
    <xf numFmtId="0" fontId="0" fillId="0" borderId="23" xfId="0" applyBorder="1"/>
    <xf numFmtId="0" fontId="0" fillId="23" borderId="28" xfId="0" applyFill="1" applyBorder="1"/>
    <xf numFmtId="3" fontId="0" fillId="0" borderId="0" xfId="0" applyNumberFormat="1" applyBorder="1"/>
    <xf numFmtId="9" fontId="0" fillId="0" borderId="0" xfId="0" applyNumberFormat="1" applyBorder="1"/>
    <xf numFmtId="0" fontId="54" fillId="23" borderId="28" xfId="209" applyFill="1" applyBorder="1" applyAlignment="1">
      <alignment shrinkToFit="1"/>
    </xf>
    <xf numFmtId="0" fontId="54" fillId="23" borderId="28" xfId="209" applyFill="1" applyBorder="1" applyAlignment="1">
      <alignment horizontal="center" shrinkToFit="1"/>
    </xf>
    <xf numFmtId="0" fontId="52" fillId="25" borderId="19" xfId="209" applyFont="1" applyFill="1" applyBorder="1" applyAlignment="1">
      <alignment horizontal="center" vertical="center" shrinkToFit="1"/>
    </xf>
    <xf numFmtId="38" fontId="0" fillId="25" borderId="21" xfId="177" applyFont="1" applyFill="1" applyBorder="1" applyAlignment="1"/>
    <xf numFmtId="38" fontId="0" fillId="25" borderId="25" xfId="177" applyFont="1" applyFill="1" applyBorder="1" applyAlignment="1"/>
    <xf numFmtId="0" fontId="32" fillId="21" borderId="18" xfId="209" applyFont="1" applyFill="1" applyBorder="1" applyAlignment="1">
      <alignment horizontal="center" vertical="center" shrinkToFit="1"/>
    </xf>
    <xf numFmtId="0" fontId="32" fillId="25" borderId="20" xfId="209" applyFont="1" applyFill="1" applyBorder="1" applyAlignment="1">
      <alignment horizontal="center" vertical="center" shrinkToFit="1"/>
    </xf>
    <xf numFmtId="0" fontId="32" fillId="21" borderId="29" xfId="209" applyFont="1" applyFill="1" applyBorder="1" applyAlignment="1">
      <alignment horizontal="center" vertical="center" shrinkToFit="1"/>
    </xf>
    <xf numFmtId="0" fontId="52" fillId="21" borderId="30" xfId="209" applyFont="1" applyFill="1" applyBorder="1" applyAlignment="1">
      <alignment horizontal="center" vertical="center" shrinkToFit="1"/>
    </xf>
    <xf numFmtId="0" fontId="52" fillId="21" borderId="31" xfId="209" applyFont="1" applyFill="1" applyBorder="1" applyAlignment="1">
      <alignment horizontal="center" vertical="center" shrinkToFit="1"/>
    </xf>
    <xf numFmtId="0" fontId="52" fillId="21" borderId="32" xfId="209" applyFont="1" applyFill="1" applyBorder="1" applyAlignment="1">
      <alignment horizontal="center" vertical="center" shrinkToFit="1"/>
    </xf>
    <xf numFmtId="0" fontId="52" fillId="21" borderId="29" xfId="209" applyFont="1" applyFill="1" applyBorder="1" applyAlignment="1">
      <alignment horizontal="center" vertical="center" shrinkToFit="1"/>
    </xf>
    <xf numFmtId="0" fontId="32" fillId="25" borderId="31" xfId="209" applyFont="1" applyFill="1" applyBorder="1" applyAlignment="1">
      <alignment horizontal="center" vertical="center" shrinkToFit="1"/>
    </xf>
    <xf numFmtId="0" fontId="52" fillId="24" borderId="30" xfId="209" applyFont="1" applyFill="1" applyBorder="1" applyAlignment="1">
      <alignment horizontal="center" vertical="center" shrinkToFit="1"/>
    </xf>
    <xf numFmtId="0" fontId="52" fillId="24" borderId="29" xfId="209" applyFont="1" applyFill="1" applyBorder="1" applyAlignment="1">
      <alignment horizontal="center" vertical="center" shrinkToFit="1"/>
    </xf>
    <xf numFmtId="0" fontId="52" fillId="11" borderId="30" xfId="209" applyFont="1" applyFill="1" applyBorder="1" applyAlignment="1">
      <alignment horizontal="center" vertical="center" shrinkToFit="1"/>
    </xf>
    <xf numFmtId="0" fontId="52" fillId="11" borderId="31" xfId="209" applyFont="1" applyFill="1" applyBorder="1" applyAlignment="1">
      <alignment horizontal="center" vertical="center" shrinkToFit="1"/>
    </xf>
    <xf numFmtId="40" fontId="0" fillId="0" borderId="27" xfId="177" applyNumberFormat="1" applyFont="1" applyFill="1" applyBorder="1" applyAlignment="1"/>
    <xf numFmtId="40" fontId="0" fillId="0" borderId="24" xfId="177" applyNumberFormat="1" applyFont="1" applyFill="1" applyBorder="1" applyAlignment="1"/>
    <xf numFmtId="38" fontId="0" fillId="0" borderId="21" xfId="177" applyFont="1" applyFill="1" applyBorder="1" applyAlignment="1"/>
    <xf numFmtId="38" fontId="0" fillId="0" borderId="25" xfId="177" applyFont="1" applyFill="1" applyBorder="1" applyAlignment="1"/>
    <xf numFmtId="0" fontId="54" fillId="25" borderId="23" xfId="209" applyFill="1" applyBorder="1" applyAlignment="1">
      <alignment horizontal="center"/>
    </xf>
    <xf numFmtId="0" fontId="54" fillId="25" borderId="2" xfId="209" applyFill="1" applyBorder="1" applyAlignment="1">
      <alignment horizontal="center"/>
    </xf>
    <xf numFmtId="38" fontId="0" fillId="25" borderId="23" xfId="177" applyFont="1" applyFill="1" applyBorder="1" applyAlignment="1"/>
    <xf numFmtId="38" fontId="0" fillId="25" borderId="2" xfId="177" applyFont="1" applyFill="1" applyBorder="1" applyAlignment="1"/>
    <xf numFmtId="38" fontId="57" fillId="25" borderId="23" xfId="315" applyFont="1" applyFill="1" applyBorder="1" applyAlignment="1"/>
    <xf numFmtId="38" fontId="57" fillId="25" borderId="2" xfId="315" applyFont="1" applyFill="1" applyBorder="1" applyAlignment="1"/>
    <xf numFmtId="197" fontId="54" fillId="0" borderId="24" xfId="209" applyNumberFormat="1" applyFill="1" applyBorder="1"/>
    <xf numFmtId="0" fontId="54" fillId="0" borderId="21" xfId="209" applyFill="1" applyBorder="1"/>
    <xf numFmtId="38" fontId="0" fillId="0" borderId="22" xfId="177" applyFont="1" applyFill="1" applyBorder="1" applyAlignment="1"/>
    <xf numFmtId="38" fontId="0" fillId="0" borderId="24" xfId="177" applyFont="1" applyFill="1" applyBorder="1" applyAlignment="1"/>
    <xf numFmtId="197" fontId="54" fillId="0" borderId="27" xfId="209" applyNumberFormat="1" applyFill="1" applyBorder="1"/>
    <xf numFmtId="0" fontId="54" fillId="0" borderId="25" xfId="209" applyFill="1" applyBorder="1"/>
    <xf numFmtId="38" fontId="0" fillId="0" borderId="26" xfId="177" applyFont="1" applyFill="1" applyBorder="1" applyAlignment="1"/>
    <xf numFmtId="38" fontId="0" fillId="0" borderId="27" xfId="177" applyFont="1" applyFill="1" applyBorder="1" applyAlignment="1"/>
    <xf numFmtId="0" fontId="32" fillId="26" borderId="18" xfId="209" applyFont="1" applyFill="1" applyBorder="1" applyAlignment="1">
      <alignment horizontal="center" vertical="center" shrinkToFit="1"/>
    </xf>
    <xf numFmtId="0" fontId="52" fillId="26" borderId="19" xfId="209" applyFont="1" applyFill="1" applyBorder="1" applyAlignment="1">
      <alignment horizontal="center" vertical="center" shrinkToFit="1"/>
    </xf>
    <xf numFmtId="0" fontId="52" fillId="26" borderId="18" xfId="209" applyFont="1" applyFill="1" applyBorder="1" applyAlignment="1">
      <alignment horizontal="center" vertical="center" shrinkToFit="1"/>
    </xf>
    <xf numFmtId="0" fontId="32" fillId="26" borderId="20" xfId="209" applyFont="1" applyFill="1" applyBorder="1" applyAlignment="1">
      <alignment horizontal="center" vertical="center" shrinkToFit="1"/>
    </xf>
    <xf numFmtId="0" fontId="52" fillId="26" borderId="20" xfId="209" applyFont="1" applyFill="1" applyBorder="1" applyAlignment="1">
      <alignment horizontal="center" vertical="center" shrinkToFit="1"/>
    </xf>
    <xf numFmtId="0" fontId="32" fillId="21" borderId="19" xfId="209" applyFont="1" applyFill="1" applyBorder="1" applyAlignment="1">
      <alignment horizontal="center" vertical="center" shrinkToFit="1"/>
    </xf>
    <xf numFmtId="40" fontId="0" fillId="0" borderId="27" xfId="177" applyNumberFormat="1" applyFont="1" applyFill="1" applyBorder="1" applyAlignment="1" applyProtection="1"/>
    <xf numFmtId="38" fontId="0" fillId="0" borderId="25" xfId="177" applyFont="1" applyFill="1" applyBorder="1" applyAlignment="1" applyProtection="1"/>
    <xf numFmtId="0" fontId="54" fillId="0" borderId="2" xfId="209" applyBorder="1" applyAlignment="1" applyProtection="1">
      <alignment horizontal="center"/>
    </xf>
    <xf numFmtId="38" fontId="0" fillId="24" borderId="25" xfId="177" applyFont="1" applyFill="1" applyBorder="1" applyAlignment="1" applyProtection="1"/>
    <xf numFmtId="6" fontId="54" fillId="0" borderId="2" xfId="316" applyFont="1" applyBorder="1" applyAlignment="1"/>
    <xf numFmtId="0" fontId="54" fillId="0" borderId="26" xfId="209" applyFill="1" applyBorder="1"/>
    <xf numFmtId="0" fontId="54" fillId="0" borderId="2" xfId="209" applyFill="1" applyBorder="1" applyAlignment="1">
      <alignment horizontal="center"/>
    </xf>
    <xf numFmtId="6" fontId="54" fillId="0" borderId="34" xfId="316" applyFont="1" applyBorder="1" applyAlignment="1"/>
    <xf numFmtId="0" fontId="32" fillId="21" borderId="35" xfId="209" applyFont="1" applyFill="1" applyBorder="1" applyAlignment="1">
      <alignment horizontal="center" vertical="center" shrinkToFit="1"/>
    </xf>
    <xf numFmtId="0" fontId="51" fillId="21" borderId="36" xfId="209" applyFont="1" applyFill="1" applyBorder="1" applyAlignment="1">
      <alignment horizontal="center" vertical="center" shrinkToFit="1"/>
    </xf>
    <xf numFmtId="0" fontId="51" fillId="21" borderId="27" xfId="209" applyFont="1" applyFill="1" applyBorder="1" applyAlignment="1">
      <alignment horizontal="center" vertical="center" shrinkToFit="1"/>
    </xf>
    <xf numFmtId="0" fontId="52" fillId="21" borderId="25" xfId="209" applyFont="1" applyFill="1" applyBorder="1" applyAlignment="1">
      <alignment horizontal="center" vertical="center" shrinkToFit="1"/>
    </xf>
    <xf numFmtId="0" fontId="52" fillId="21" borderId="26" xfId="209" applyFont="1" applyFill="1" applyBorder="1" applyAlignment="1">
      <alignment horizontal="center" vertical="center" shrinkToFit="1"/>
    </xf>
    <xf numFmtId="0" fontId="54" fillId="22" borderId="28" xfId="209" applyFill="1" applyBorder="1" applyAlignment="1">
      <alignment horizontal="center"/>
    </xf>
    <xf numFmtId="0" fontId="52" fillId="21" borderId="2" xfId="209" applyFont="1" applyFill="1" applyBorder="1" applyAlignment="1">
      <alignment horizontal="center" vertical="center" shrinkToFit="1"/>
    </xf>
    <xf numFmtId="0" fontId="52" fillId="21" borderId="28" xfId="209" applyFont="1" applyFill="1" applyBorder="1" applyAlignment="1">
      <alignment horizontal="center" vertical="center" shrinkToFit="1"/>
    </xf>
    <xf numFmtId="0" fontId="32" fillId="26" borderId="35" xfId="209" applyFont="1" applyFill="1" applyBorder="1" applyAlignment="1">
      <alignment horizontal="center" vertical="center" shrinkToFit="1"/>
    </xf>
    <xf numFmtId="0" fontId="51" fillId="26" borderId="36" xfId="209" applyFont="1" applyFill="1" applyBorder="1" applyAlignment="1">
      <alignment horizontal="center" vertical="center" shrinkToFit="1"/>
    </xf>
    <xf numFmtId="0" fontId="51" fillId="26" borderId="27" xfId="209" applyFont="1" applyFill="1" applyBorder="1" applyAlignment="1">
      <alignment horizontal="center" vertical="center" shrinkToFit="1"/>
    </xf>
    <xf numFmtId="0" fontId="52" fillId="26" borderId="25" xfId="209" applyFont="1" applyFill="1" applyBorder="1" applyAlignment="1">
      <alignment horizontal="center" vertical="center" shrinkToFit="1"/>
    </xf>
    <xf numFmtId="0" fontId="52" fillId="26" borderId="26" xfId="209" applyFont="1" applyFill="1" applyBorder="1" applyAlignment="1">
      <alignment horizontal="center" vertical="center" shrinkToFit="1"/>
    </xf>
    <xf numFmtId="0" fontId="58" fillId="0" borderId="33" xfId="209" applyFont="1" applyFill="1" applyBorder="1" applyAlignment="1">
      <alignment horizontal="left"/>
    </xf>
    <xf numFmtId="0" fontId="59" fillId="0" borderId="33" xfId="209" applyFont="1" applyFill="1" applyBorder="1" applyAlignment="1">
      <alignment horizontal="center"/>
    </xf>
    <xf numFmtId="0" fontId="0" fillId="23" borderId="2" xfId="0" applyFill="1" applyBorder="1" applyAlignment="1">
      <alignment horizontal="center"/>
    </xf>
    <xf numFmtId="0" fontId="0" fillId="23" borderId="27" xfId="0" applyFill="1" applyBorder="1" applyAlignment="1">
      <alignment horizontal="center"/>
    </xf>
    <xf numFmtId="0" fontId="0" fillId="23" borderId="26" xfId="0" applyFill="1" applyBorder="1" applyAlignment="1">
      <alignment horizontal="center"/>
    </xf>
  </cellXfs>
  <cellStyles count="317">
    <cellStyle name="0,0_x000d__x000a_NA_x000d__x000a_" xfId="1"/>
    <cellStyle name="1" xfId="2"/>
    <cellStyle name="11.5" xfId="3"/>
    <cellStyle name="20% - アクセント 1" xfId="4" builtinId="30" customBuiltin="1"/>
    <cellStyle name="20% - アクセント 2" xfId="5" builtinId="34" customBuiltin="1"/>
    <cellStyle name="20% - アクセント 3" xfId="6" builtinId="38" customBuiltin="1"/>
    <cellStyle name="20% - アクセント 4" xfId="7" builtinId="42" customBuiltin="1"/>
    <cellStyle name="20% - アクセント 5" xfId="8" builtinId="46" customBuiltin="1"/>
    <cellStyle name="20% - アクセント 6" xfId="9" builtinId="50" customBuiltin="1"/>
    <cellStyle name="40% - アクセント 1" xfId="10" builtinId="31" customBuiltin="1"/>
    <cellStyle name="40% - アクセント 2" xfId="11" builtinId="35" customBuiltin="1"/>
    <cellStyle name="40% - アクセント 3" xfId="12" builtinId="39" customBuiltin="1"/>
    <cellStyle name="40% - アクセント 4" xfId="13" builtinId="43" customBuiltin="1"/>
    <cellStyle name="40% - アクセント 5" xfId="14" builtinId="47" customBuiltin="1"/>
    <cellStyle name="40% - アクセント 6" xfId="15" builtinId="51" customBuiltin="1"/>
    <cellStyle name="60% - アクセント 1" xfId="16" builtinId="32" customBuiltin="1"/>
    <cellStyle name="60% - アクセント 2" xfId="17" builtinId="36" customBuiltin="1"/>
    <cellStyle name="60% - アクセント 3" xfId="18" builtinId="40" customBuiltin="1"/>
    <cellStyle name="60% - アクセント 4" xfId="19" builtinId="44" customBuiltin="1"/>
    <cellStyle name="60% - アクセント 5" xfId="20" builtinId="48" customBuiltin="1"/>
    <cellStyle name="60% - アクセント 6" xfId="21" builtinId="52" customBuiltin="1"/>
    <cellStyle name="args.style" xfId="22"/>
    <cellStyle name="Calc Currency (0)" xfId="23"/>
    <cellStyle name="Center" xfId="24"/>
    <cellStyle name="Center2" xfId="25"/>
    <cellStyle name="COMP定番表書式" xfId="26"/>
    <cellStyle name="entry" xfId="27"/>
    <cellStyle name="Grey" xfId="28"/>
    <cellStyle name="Head 1" xfId="29"/>
    <cellStyle name="Header1" xfId="30"/>
    <cellStyle name="Header2" xfId="31"/>
    <cellStyle name="Input [yellow]" xfId="32"/>
    <cellStyle name="Komma [0]_laroux" xfId="33"/>
    <cellStyle name="Komma_laroux" xfId="34"/>
    <cellStyle name="Normal - Style1" xfId="35"/>
    <cellStyle name="Normal_#18-Internet" xfId="36"/>
    <cellStyle name="oft Excel]_x000d__x000a_Options5=1155_x000d__x000a_Pos=-12,9,1048,771_x000d__x000a_MRUFuncs=345,205,221,1,65,28,37,24,3,36_x000d__x000a_StickyPtX=574_x000d__x000a_StickyPtY=45" xfId="37"/>
    <cellStyle name="oft Excel]_x000d__x000a_Options5=1155_x000d__x000a_Pos=-12,9,1048,771_x000d__x000a_MRUFuncs=345,205,221,1,65,28,37,24,3,36_x000d__x000a_StickyPtX=574_x000d__x000a_StickyPtY=45 10" xfId="38"/>
    <cellStyle name="oft Excel]_x000d__x000a_Options5=1155_x000d__x000a_Pos=-12,9,1048,771_x000d__x000a_MRUFuncs=345,205,221,1,65,28,37,24,3,36_x000d__x000a_StickyPtX=574_x000d__x000a_StickyPtY=45 100" xfId="39"/>
    <cellStyle name="oft Excel]_x000d__x000a_Options5=1155_x000d__x000a_Pos=-12,9,1048,771_x000d__x000a_MRUFuncs=345,205,221,1,65,28,37,24,3,36_x000d__x000a_StickyPtX=574_x000d__x000a_StickyPtY=45 101" xfId="40"/>
    <cellStyle name="oft Excel]_x000d__x000a_Options5=1155_x000d__x000a_Pos=-12,9,1048,771_x000d__x000a_MRUFuncs=345,205,221,1,65,28,37,24,3,36_x000d__x000a_StickyPtX=574_x000d__x000a_StickyPtY=45 102" xfId="41"/>
    <cellStyle name="oft Excel]_x000d__x000a_Options5=1155_x000d__x000a_Pos=-12,9,1048,771_x000d__x000a_MRUFuncs=345,205,221,1,65,28,37,24,3,36_x000d__x000a_StickyPtX=574_x000d__x000a_StickyPtY=45 103" xfId="42"/>
    <cellStyle name="oft Excel]_x000d__x000a_Options5=1155_x000d__x000a_Pos=-12,9,1048,771_x000d__x000a_MRUFuncs=345,205,221,1,65,28,37,24,3,36_x000d__x000a_StickyPtX=574_x000d__x000a_StickyPtY=45 11" xfId="43"/>
    <cellStyle name="oft Excel]_x000d__x000a_Options5=1155_x000d__x000a_Pos=-12,9,1048,771_x000d__x000a_MRUFuncs=345,205,221,1,65,28,37,24,3,36_x000d__x000a_StickyPtX=574_x000d__x000a_StickyPtY=45 12" xfId="44"/>
    <cellStyle name="oft Excel]_x000d__x000a_Options5=1155_x000d__x000a_Pos=-12,9,1048,771_x000d__x000a_MRUFuncs=345,205,221,1,65,28,37,24,3,36_x000d__x000a_StickyPtX=574_x000d__x000a_StickyPtY=45 13" xfId="45"/>
    <cellStyle name="oft Excel]_x000d__x000a_Options5=1155_x000d__x000a_Pos=-12,9,1048,771_x000d__x000a_MRUFuncs=345,205,221,1,65,28,37,24,3,36_x000d__x000a_StickyPtX=574_x000d__x000a_StickyPtY=45 14" xfId="46"/>
    <cellStyle name="oft Excel]_x000d__x000a_Options5=1155_x000d__x000a_Pos=-12,9,1048,771_x000d__x000a_MRUFuncs=345,205,221,1,65,28,37,24,3,36_x000d__x000a_StickyPtX=574_x000d__x000a_StickyPtY=45 15" xfId="47"/>
    <cellStyle name="oft Excel]_x000d__x000a_Options5=1155_x000d__x000a_Pos=-12,9,1048,771_x000d__x000a_MRUFuncs=345,205,221,1,65,28,37,24,3,36_x000d__x000a_StickyPtX=574_x000d__x000a_StickyPtY=45 16" xfId="48"/>
    <cellStyle name="oft Excel]_x000d__x000a_Options5=1155_x000d__x000a_Pos=-12,9,1048,771_x000d__x000a_MRUFuncs=345,205,221,1,65,28,37,24,3,36_x000d__x000a_StickyPtX=574_x000d__x000a_StickyPtY=45 17" xfId="49"/>
    <cellStyle name="oft Excel]_x000d__x000a_Options5=1155_x000d__x000a_Pos=-12,9,1048,771_x000d__x000a_MRUFuncs=345,205,221,1,65,28,37,24,3,36_x000d__x000a_StickyPtX=574_x000d__x000a_StickyPtY=45 18" xfId="50"/>
    <cellStyle name="oft Excel]_x000d__x000a_Options5=1155_x000d__x000a_Pos=-12,9,1048,771_x000d__x000a_MRUFuncs=345,205,221,1,65,28,37,24,3,36_x000d__x000a_StickyPtX=574_x000d__x000a_StickyPtY=45 19" xfId="51"/>
    <cellStyle name="oft Excel]_x000d__x000a_Options5=1155_x000d__x000a_Pos=-12,9,1048,771_x000d__x000a_MRUFuncs=345,205,221,1,65,28,37,24,3,36_x000d__x000a_StickyPtX=574_x000d__x000a_StickyPtY=45 2" xfId="52"/>
    <cellStyle name="oft Excel]_x000d__x000a_Options5=1155_x000d__x000a_Pos=-12,9,1048,771_x000d__x000a_MRUFuncs=345,205,221,1,65,28,37,24,3,36_x000d__x000a_StickyPtX=574_x000d__x000a_StickyPtY=45 20" xfId="53"/>
    <cellStyle name="oft Excel]_x000d__x000a_Options5=1155_x000d__x000a_Pos=-12,9,1048,771_x000d__x000a_MRUFuncs=345,205,221,1,65,28,37,24,3,36_x000d__x000a_StickyPtX=574_x000d__x000a_StickyPtY=45 21" xfId="54"/>
    <cellStyle name="oft Excel]_x000d__x000a_Options5=1155_x000d__x000a_Pos=-12,9,1048,771_x000d__x000a_MRUFuncs=345,205,221,1,65,28,37,24,3,36_x000d__x000a_StickyPtX=574_x000d__x000a_StickyPtY=45 22" xfId="55"/>
    <cellStyle name="oft Excel]_x000d__x000a_Options5=1155_x000d__x000a_Pos=-12,9,1048,771_x000d__x000a_MRUFuncs=345,205,221,1,65,28,37,24,3,36_x000d__x000a_StickyPtX=574_x000d__x000a_StickyPtY=45 23" xfId="56"/>
    <cellStyle name="oft Excel]_x000d__x000a_Options5=1155_x000d__x000a_Pos=-12,9,1048,771_x000d__x000a_MRUFuncs=345,205,221,1,65,28,37,24,3,36_x000d__x000a_StickyPtX=574_x000d__x000a_StickyPtY=45 24" xfId="57"/>
    <cellStyle name="oft Excel]_x000d__x000a_Options5=1155_x000d__x000a_Pos=-12,9,1048,771_x000d__x000a_MRUFuncs=345,205,221,1,65,28,37,24,3,36_x000d__x000a_StickyPtX=574_x000d__x000a_StickyPtY=45 25" xfId="58"/>
    <cellStyle name="oft Excel]_x000d__x000a_Options5=1155_x000d__x000a_Pos=-12,9,1048,771_x000d__x000a_MRUFuncs=345,205,221,1,65,28,37,24,3,36_x000d__x000a_StickyPtX=574_x000d__x000a_StickyPtY=45 26" xfId="59"/>
    <cellStyle name="oft Excel]_x000d__x000a_Options5=1155_x000d__x000a_Pos=-12,9,1048,771_x000d__x000a_MRUFuncs=345,205,221,1,65,28,37,24,3,36_x000d__x000a_StickyPtX=574_x000d__x000a_StickyPtY=45 27" xfId="60"/>
    <cellStyle name="oft Excel]_x000d__x000a_Options5=1155_x000d__x000a_Pos=-12,9,1048,771_x000d__x000a_MRUFuncs=345,205,221,1,65,28,37,24,3,36_x000d__x000a_StickyPtX=574_x000d__x000a_StickyPtY=45 28" xfId="61"/>
    <cellStyle name="oft Excel]_x000d__x000a_Options5=1155_x000d__x000a_Pos=-12,9,1048,771_x000d__x000a_MRUFuncs=345,205,221,1,65,28,37,24,3,36_x000d__x000a_StickyPtX=574_x000d__x000a_StickyPtY=45 29" xfId="62"/>
    <cellStyle name="oft Excel]_x000d__x000a_Options5=1155_x000d__x000a_Pos=-12,9,1048,771_x000d__x000a_MRUFuncs=345,205,221,1,65,28,37,24,3,36_x000d__x000a_StickyPtX=574_x000d__x000a_StickyPtY=45 3" xfId="63"/>
    <cellStyle name="oft Excel]_x000d__x000a_Options5=1155_x000d__x000a_Pos=-12,9,1048,771_x000d__x000a_MRUFuncs=345,205,221,1,65,28,37,24,3,36_x000d__x000a_StickyPtX=574_x000d__x000a_StickyPtY=45 30" xfId="64"/>
    <cellStyle name="oft Excel]_x000d__x000a_Options5=1155_x000d__x000a_Pos=-12,9,1048,771_x000d__x000a_MRUFuncs=345,205,221,1,65,28,37,24,3,36_x000d__x000a_StickyPtX=574_x000d__x000a_StickyPtY=45 31" xfId="65"/>
    <cellStyle name="oft Excel]_x000d__x000a_Options5=1155_x000d__x000a_Pos=-12,9,1048,771_x000d__x000a_MRUFuncs=345,205,221,1,65,28,37,24,3,36_x000d__x000a_StickyPtX=574_x000d__x000a_StickyPtY=45 32" xfId="66"/>
    <cellStyle name="oft Excel]_x000d__x000a_Options5=1155_x000d__x000a_Pos=-12,9,1048,771_x000d__x000a_MRUFuncs=345,205,221,1,65,28,37,24,3,36_x000d__x000a_StickyPtX=574_x000d__x000a_StickyPtY=45 33" xfId="67"/>
    <cellStyle name="oft Excel]_x000d__x000a_Options5=1155_x000d__x000a_Pos=-12,9,1048,771_x000d__x000a_MRUFuncs=345,205,221,1,65,28,37,24,3,36_x000d__x000a_StickyPtX=574_x000d__x000a_StickyPtY=45 34" xfId="68"/>
    <cellStyle name="oft Excel]_x000d__x000a_Options5=1155_x000d__x000a_Pos=-12,9,1048,771_x000d__x000a_MRUFuncs=345,205,221,1,65,28,37,24,3,36_x000d__x000a_StickyPtX=574_x000d__x000a_StickyPtY=45 35" xfId="69"/>
    <cellStyle name="oft Excel]_x000d__x000a_Options5=1155_x000d__x000a_Pos=-12,9,1048,771_x000d__x000a_MRUFuncs=345,205,221,1,65,28,37,24,3,36_x000d__x000a_StickyPtX=574_x000d__x000a_StickyPtY=45 36" xfId="70"/>
    <cellStyle name="oft Excel]_x000d__x000a_Options5=1155_x000d__x000a_Pos=-12,9,1048,771_x000d__x000a_MRUFuncs=345,205,221,1,65,28,37,24,3,36_x000d__x000a_StickyPtX=574_x000d__x000a_StickyPtY=45 37" xfId="71"/>
    <cellStyle name="oft Excel]_x000d__x000a_Options5=1155_x000d__x000a_Pos=-12,9,1048,771_x000d__x000a_MRUFuncs=345,205,221,1,65,28,37,24,3,36_x000d__x000a_StickyPtX=574_x000d__x000a_StickyPtY=45 38" xfId="72"/>
    <cellStyle name="oft Excel]_x000d__x000a_Options5=1155_x000d__x000a_Pos=-12,9,1048,771_x000d__x000a_MRUFuncs=345,205,221,1,65,28,37,24,3,36_x000d__x000a_StickyPtX=574_x000d__x000a_StickyPtY=45 39" xfId="73"/>
    <cellStyle name="oft Excel]_x000d__x000a_Options5=1155_x000d__x000a_Pos=-12,9,1048,771_x000d__x000a_MRUFuncs=345,205,221,1,65,28,37,24,3,36_x000d__x000a_StickyPtX=574_x000d__x000a_StickyPtY=45 4" xfId="74"/>
    <cellStyle name="oft Excel]_x000d__x000a_Options5=1155_x000d__x000a_Pos=-12,9,1048,771_x000d__x000a_MRUFuncs=345,205,221,1,65,28,37,24,3,36_x000d__x000a_StickyPtX=574_x000d__x000a_StickyPtY=45 40" xfId="75"/>
    <cellStyle name="oft Excel]_x000d__x000a_Options5=1155_x000d__x000a_Pos=-12,9,1048,771_x000d__x000a_MRUFuncs=345,205,221,1,65,28,37,24,3,36_x000d__x000a_StickyPtX=574_x000d__x000a_StickyPtY=45 41" xfId="76"/>
    <cellStyle name="oft Excel]_x000d__x000a_Options5=1155_x000d__x000a_Pos=-12,9,1048,771_x000d__x000a_MRUFuncs=345,205,221,1,65,28,37,24,3,36_x000d__x000a_StickyPtX=574_x000d__x000a_StickyPtY=45 42" xfId="77"/>
    <cellStyle name="oft Excel]_x000d__x000a_Options5=1155_x000d__x000a_Pos=-12,9,1048,771_x000d__x000a_MRUFuncs=345,205,221,1,65,28,37,24,3,36_x000d__x000a_StickyPtX=574_x000d__x000a_StickyPtY=45 43" xfId="78"/>
    <cellStyle name="oft Excel]_x000d__x000a_Options5=1155_x000d__x000a_Pos=-12,9,1048,771_x000d__x000a_MRUFuncs=345,205,221,1,65,28,37,24,3,36_x000d__x000a_StickyPtX=574_x000d__x000a_StickyPtY=45 44" xfId="79"/>
    <cellStyle name="oft Excel]_x000d__x000a_Options5=1155_x000d__x000a_Pos=-12,9,1048,771_x000d__x000a_MRUFuncs=345,205,221,1,65,28,37,24,3,36_x000d__x000a_StickyPtX=574_x000d__x000a_StickyPtY=45 45" xfId="80"/>
    <cellStyle name="oft Excel]_x000d__x000a_Options5=1155_x000d__x000a_Pos=-12,9,1048,771_x000d__x000a_MRUFuncs=345,205,221,1,65,28,37,24,3,36_x000d__x000a_StickyPtX=574_x000d__x000a_StickyPtY=45 46" xfId="81"/>
    <cellStyle name="oft Excel]_x000d__x000a_Options5=1155_x000d__x000a_Pos=-12,9,1048,771_x000d__x000a_MRUFuncs=345,205,221,1,65,28,37,24,3,36_x000d__x000a_StickyPtX=574_x000d__x000a_StickyPtY=45 47" xfId="82"/>
    <cellStyle name="oft Excel]_x000d__x000a_Options5=1155_x000d__x000a_Pos=-12,9,1048,771_x000d__x000a_MRUFuncs=345,205,221,1,65,28,37,24,3,36_x000d__x000a_StickyPtX=574_x000d__x000a_StickyPtY=45 48" xfId="83"/>
    <cellStyle name="oft Excel]_x000d__x000a_Options5=1155_x000d__x000a_Pos=-12,9,1048,771_x000d__x000a_MRUFuncs=345,205,221,1,65,28,37,24,3,36_x000d__x000a_StickyPtX=574_x000d__x000a_StickyPtY=45 49" xfId="84"/>
    <cellStyle name="oft Excel]_x000d__x000a_Options5=1155_x000d__x000a_Pos=-12,9,1048,771_x000d__x000a_MRUFuncs=345,205,221,1,65,28,37,24,3,36_x000d__x000a_StickyPtX=574_x000d__x000a_StickyPtY=45 5" xfId="85"/>
    <cellStyle name="oft Excel]_x000d__x000a_Options5=1155_x000d__x000a_Pos=-12,9,1048,771_x000d__x000a_MRUFuncs=345,205,221,1,65,28,37,24,3,36_x000d__x000a_StickyPtX=574_x000d__x000a_StickyPtY=45 50" xfId="86"/>
    <cellStyle name="oft Excel]_x000d__x000a_Options5=1155_x000d__x000a_Pos=-12,9,1048,771_x000d__x000a_MRUFuncs=345,205,221,1,65,28,37,24,3,36_x000d__x000a_StickyPtX=574_x000d__x000a_StickyPtY=45 51" xfId="87"/>
    <cellStyle name="oft Excel]_x000d__x000a_Options5=1155_x000d__x000a_Pos=-12,9,1048,771_x000d__x000a_MRUFuncs=345,205,221,1,65,28,37,24,3,36_x000d__x000a_StickyPtX=574_x000d__x000a_StickyPtY=45 52" xfId="88"/>
    <cellStyle name="oft Excel]_x000d__x000a_Options5=1155_x000d__x000a_Pos=-12,9,1048,771_x000d__x000a_MRUFuncs=345,205,221,1,65,28,37,24,3,36_x000d__x000a_StickyPtX=574_x000d__x000a_StickyPtY=45 53" xfId="89"/>
    <cellStyle name="oft Excel]_x000d__x000a_Options5=1155_x000d__x000a_Pos=-12,9,1048,771_x000d__x000a_MRUFuncs=345,205,221,1,65,28,37,24,3,36_x000d__x000a_StickyPtX=574_x000d__x000a_StickyPtY=45 54" xfId="90"/>
    <cellStyle name="oft Excel]_x000d__x000a_Options5=1155_x000d__x000a_Pos=-12,9,1048,771_x000d__x000a_MRUFuncs=345,205,221,1,65,28,37,24,3,36_x000d__x000a_StickyPtX=574_x000d__x000a_StickyPtY=45 55" xfId="91"/>
    <cellStyle name="oft Excel]_x000d__x000a_Options5=1155_x000d__x000a_Pos=-12,9,1048,771_x000d__x000a_MRUFuncs=345,205,221,1,65,28,37,24,3,36_x000d__x000a_StickyPtX=574_x000d__x000a_StickyPtY=45 56" xfId="92"/>
    <cellStyle name="oft Excel]_x000d__x000a_Options5=1155_x000d__x000a_Pos=-12,9,1048,771_x000d__x000a_MRUFuncs=345,205,221,1,65,28,37,24,3,36_x000d__x000a_StickyPtX=574_x000d__x000a_StickyPtY=45 57" xfId="93"/>
    <cellStyle name="oft Excel]_x000d__x000a_Options5=1155_x000d__x000a_Pos=-12,9,1048,771_x000d__x000a_MRUFuncs=345,205,221,1,65,28,37,24,3,36_x000d__x000a_StickyPtX=574_x000d__x000a_StickyPtY=45 58" xfId="94"/>
    <cellStyle name="oft Excel]_x000d__x000a_Options5=1155_x000d__x000a_Pos=-12,9,1048,771_x000d__x000a_MRUFuncs=345,205,221,1,65,28,37,24,3,36_x000d__x000a_StickyPtX=574_x000d__x000a_StickyPtY=45 59" xfId="95"/>
    <cellStyle name="oft Excel]_x000d__x000a_Options5=1155_x000d__x000a_Pos=-12,9,1048,771_x000d__x000a_MRUFuncs=345,205,221,1,65,28,37,24,3,36_x000d__x000a_StickyPtX=574_x000d__x000a_StickyPtY=45 6" xfId="96"/>
    <cellStyle name="oft Excel]_x000d__x000a_Options5=1155_x000d__x000a_Pos=-12,9,1048,771_x000d__x000a_MRUFuncs=345,205,221,1,65,28,37,24,3,36_x000d__x000a_StickyPtX=574_x000d__x000a_StickyPtY=45 60" xfId="97"/>
    <cellStyle name="oft Excel]_x000d__x000a_Options5=1155_x000d__x000a_Pos=-12,9,1048,771_x000d__x000a_MRUFuncs=345,205,221,1,65,28,37,24,3,36_x000d__x000a_StickyPtX=574_x000d__x000a_StickyPtY=45 61" xfId="98"/>
    <cellStyle name="oft Excel]_x000d__x000a_Options5=1155_x000d__x000a_Pos=-12,9,1048,771_x000d__x000a_MRUFuncs=345,205,221,1,65,28,37,24,3,36_x000d__x000a_StickyPtX=574_x000d__x000a_StickyPtY=45 62" xfId="99"/>
    <cellStyle name="oft Excel]_x000d__x000a_Options5=1155_x000d__x000a_Pos=-12,9,1048,771_x000d__x000a_MRUFuncs=345,205,221,1,65,28,37,24,3,36_x000d__x000a_StickyPtX=574_x000d__x000a_StickyPtY=45 63" xfId="100"/>
    <cellStyle name="oft Excel]_x000d__x000a_Options5=1155_x000d__x000a_Pos=-12,9,1048,771_x000d__x000a_MRUFuncs=345,205,221,1,65,28,37,24,3,36_x000d__x000a_StickyPtX=574_x000d__x000a_StickyPtY=45 64" xfId="101"/>
    <cellStyle name="oft Excel]_x000d__x000a_Options5=1155_x000d__x000a_Pos=-12,9,1048,771_x000d__x000a_MRUFuncs=345,205,221,1,65,28,37,24,3,36_x000d__x000a_StickyPtX=574_x000d__x000a_StickyPtY=45 65" xfId="102"/>
    <cellStyle name="oft Excel]_x000d__x000a_Options5=1155_x000d__x000a_Pos=-12,9,1048,771_x000d__x000a_MRUFuncs=345,205,221,1,65,28,37,24,3,36_x000d__x000a_StickyPtX=574_x000d__x000a_StickyPtY=45 66" xfId="103"/>
    <cellStyle name="oft Excel]_x000d__x000a_Options5=1155_x000d__x000a_Pos=-12,9,1048,771_x000d__x000a_MRUFuncs=345,205,221,1,65,28,37,24,3,36_x000d__x000a_StickyPtX=574_x000d__x000a_StickyPtY=45 67" xfId="104"/>
    <cellStyle name="oft Excel]_x000d__x000a_Options5=1155_x000d__x000a_Pos=-12,9,1048,771_x000d__x000a_MRUFuncs=345,205,221,1,65,28,37,24,3,36_x000d__x000a_StickyPtX=574_x000d__x000a_StickyPtY=45 68" xfId="105"/>
    <cellStyle name="oft Excel]_x000d__x000a_Options5=1155_x000d__x000a_Pos=-12,9,1048,771_x000d__x000a_MRUFuncs=345,205,221,1,65,28,37,24,3,36_x000d__x000a_StickyPtX=574_x000d__x000a_StickyPtY=45 69" xfId="106"/>
    <cellStyle name="oft Excel]_x000d__x000a_Options5=1155_x000d__x000a_Pos=-12,9,1048,771_x000d__x000a_MRUFuncs=345,205,221,1,65,28,37,24,3,36_x000d__x000a_StickyPtX=574_x000d__x000a_StickyPtY=45 7" xfId="107"/>
    <cellStyle name="oft Excel]_x000d__x000a_Options5=1155_x000d__x000a_Pos=-12,9,1048,771_x000d__x000a_MRUFuncs=345,205,221,1,65,28,37,24,3,36_x000d__x000a_StickyPtX=574_x000d__x000a_StickyPtY=45 70" xfId="108"/>
    <cellStyle name="oft Excel]_x000d__x000a_Options5=1155_x000d__x000a_Pos=-12,9,1048,771_x000d__x000a_MRUFuncs=345,205,221,1,65,28,37,24,3,36_x000d__x000a_StickyPtX=574_x000d__x000a_StickyPtY=45 71" xfId="109"/>
    <cellStyle name="oft Excel]_x000d__x000a_Options5=1155_x000d__x000a_Pos=-12,9,1048,771_x000d__x000a_MRUFuncs=345,205,221,1,65,28,37,24,3,36_x000d__x000a_StickyPtX=574_x000d__x000a_StickyPtY=45 72" xfId="110"/>
    <cellStyle name="oft Excel]_x000d__x000a_Options5=1155_x000d__x000a_Pos=-12,9,1048,771_x000d__x000a_MRUFuncs=345,205,221,1,65,28,37,24,3,36_x000d__x000a_StickyPtX=574_x000d__x000a_StickyPtY=45 73" xfId="111"/>
    <cellStyle name="oft Excel]_x000d__x000a_Options5=1155_x000d__x000a_Pos=-12,9,1048,771_x000d__x000a_MRUFuncs=345,205,221,1,65,28,37,24,3,36_x000d__x000a_StickyPtX=574_x000d__x000a_StickyPtY=45 74" xfId="112"/>
    <cellStyle name="oft Excel]_x000d__x000a_Options5=1155_x000d__x000a_Pos=-12,9,1048,771_x000d__x000a_MRUFuncs=345,205,221,1,65,28,37,24,3,36_x000d__x000a_StickyPtX=574_x000d__x000a_StickyPtY=45 75" xfId="113"/>
    <cellStyle name="oft Excel]_x000d__x000a_Options5=1155_x000d__x000a_Pos=-12,9,1048,771_x000d__x000a_MRUFuncs=345,205,221,1,65,28,37,24,3,36_x000d__x000a_StickyPtX=574_x000d__x000a_StickyPtY=45 76" xfId="114"/>
    <cellStyle name="oft Excel]_x000d__x000a_Options5=1155_x000d__x000a_Pos=-12,9,1048,771_x000d__x000a_MRUFuncs=345,205,221,1,65,28,37,24,3,36_x000d__x000a_StickyPtX=574_x000d__x000a_StickyPtY=45 77" xfId="115"/>
    <cellStyle name="oft Excel]_x000d__x000a_Options5=1155_x000d__x000a_Pos=-12,9,1048,771_x000d__x000a_MRUFuncs=345,205,221,1,65,28,37,24,3,36_x000d__x000a_StickyPtX=574_x000d__x000a_StickyPtY=45 78" xfId="116"/>
    <cellStyle name="oft Excel]_x000d__x000a_Options5=1155_x000d__x000a_Pos=-12,9,1048,771_x000d__x000a_MRUFuncs=345,205,221,1,65,28,37,24,3,36_x000d__x000a_StickyPtX=574_x000d__x000a_StickyPtY=45 79" xfId="117"/>
    <cellStyle name="oft Excel]_x000d__x000a_Options5=1155_x000d__x000a_Pos=-12,9,1048,771_x000d__x000a_MRUFuncs=345,205,221,1,65,28,37,24,3,36_x000d__x000a_StickyPtX=574_x000d__x000a_StickyPtY=45 8" xfId="118"/>
    <cellStyle name="oft Excel]_x000d__x000a_Options5=1155_x000d__x000a_Pos=-12,9,1048,771_x000d__x000a_MRUFuncs=345,205,221,1,65,28,37,24,3,36_x000d__x000a_StickyPtX=574_x000d__x000a_StickyPtY=45 80" xfId="119"/>
    <cellStyle name="oft Excel]_x000d__x000a_Options5=1155_x000d__x000a_Pos=-12,9,1048,771_x000d__x000a_MRUFuncs=345,205,221,1,65,28,37,24,3,36_x000d__x000a_StickyPtX=574_x000d__x000a_StickyPtY=45 81" xfId="120"/>
    <cellStyle name="oft Excel]_x000d__x000a_Options5=1155_x000d__x000a_Pos=-12,9,1048,771_x000d__x000a_MRUFuncs=345,205,221,1,65,28,37,24,3,36_x000d__x000a_StickyPtX=574_x000d__x000a_StickyPtY=45 82" xfId="121"/>
    <cellStyle name="oft Excel]_x000d__x000a_Options5=1155_x000d__x000a_Pos=-12,9,1048,771_x000d__x000a_MRUFuncs=345,205,221,1,65,28,37,24,3,36_x000d__x000a_StickyPtX=574_x000d__x000a_StickyPtY=45 83" xfId="122"/>
    <cellStyle name="oft Excel]_x000d__x000a_Options5=1155_x000d__x000a_Pos=-12,9,1048,771_x000d__x000a_MRUFuncs=345,205,221,1,65,28,37,24,3,36_x000d__x000a_StickyPtX=574_x000d__x000a_StickyPtY=45 84" xfId="123"/>
    <cellStyle name="oft Excel]_x000d__x000a_Options5=1155_x000d__x000a_Pos=-12,9,1048,771_x000d__x000a_MRUFuncs=345,205,221,1,65,28,37,24,3,36_x000d__x000a_StickyPtX=574_x000d__x000a_StickyPtY=45 85" xfId="124"/>
    <cellStyle name="oft Excel]_x000d__x000a_Options5=1155_x000d__x000a_Pos=-12,9,1048,771_x000d__x000a_MRUFuncs=345,205,221,1,65,28,37,24,3,36_x000d__x000a_StickyPtX=574_x000d__x000a_StickyPtY=45 86" xfId="125"/>
    <cellStyle name="oft Excel]_x000d__x000a_Options5=1155_x000d__x000a_Pos=-12,9,1048,771_x000d__x000a_MRUFuncs=345,205,221,1,65,28,37,24,3,36_x000d__x000a_StickyPtX=574_x000d__x000a_StickyPtY=45 87" xfId="126"/>
    <cellStyle name="oft Excel]_x000d__x000a_Options5=1155_x000d__x000a_Pos=-12,9,1048,771_x000d__x000a_MRUFuncs=345,205,221,1,65,28,37,24,3,36_x000d__x000a_StickyPtX=574_x000d__x000a_StickyPtY=45 88" xfId="127"/>
    <cellStyle name="oft Excel]_x000d__x000a_Options5=1155_x000d__x000a_Pos=-12,9,1048,771_x000d__x000a_MRUFuncs=345,205,221,1,65,28,37,24,3,36_x000d__x000a_StickyPtX=574_x000d__x000a_StickyPtY=45 89" xfId="128"/>
    <cellStyle name="oft Excel]_x000d__x000a_Options5=1155_x000d__x000a_Pos=-12,9,1048,771_x000d__x000a_MRUFuncs=345,205,221,1,65,28,37,24,3,36_x000d__x000a_StickyPtX=574_x000d__x000a_StickyPtY=45 9" xfId="129"/>
    <cellStyle name="oft Excel]_x000d__x000a_Options5=1155_x000d__x000a_Pos=-12,9,1048,771_x000d__x000a_MRUFuncs=345,205,221,1,65,28,37,24,3,36_x000d__x000a_StickyPtX=574_x000d__x000a_StickyPtY=45 90" xfId="130"/>
    <cellStyle name="oft Excel]_x000d__x000a_Options5=1155_x000d__x000a_Pos=-12,9,1048,771_x000d__x000a_MRUFuncs=345,205,221,1,65,28,37,24,3,36_x000d__x000a_StickyPtX=574_x000d__x000a_StickyPtY=45 91" xfId="131"/>
    <cellStyle name="oft Excel]_x000d__x000a_Options5=1155_x000d__x000a_Pos=-12,9,1048,771_x000d__x000a_MRUFuncs=345,205,221,1,65,28,37,24,3,36_x000d__x000a_StickyPtX=574_x000d__x000a_StickyPtY=45 92" xfId="132"/>
    <cellStyle name="oft Excel]_x000d__x000a_Options5=1155_x000d__x000a_Pos=-12,9,1048,771_x000d__x000a_MRUFuncs=345,205,221,1,65,28,37,24,3,36_x000d__x000a_StickyPtX=574_x000d__x000a_StickyPtY=45 93" xfId="133"/>
    <cellStyle name="oft Excel]_x000d__x000a_Options5=1155_x000d__x000a_Pos=-12,9,1048,771_x000d__x000a_MRUFuncs=345,205,221,1,65,28,37,24,3,36_x000d__x000a_StickyPtX=574_x000d__x000a_StickyPtY=45 94" xfId="134"/>
    <cellStyle name="oft Excel]_x000d__x000a_Options5=1155_x000d__x000a_Pos=-12,9,1048,771_x000d__x000a_MRUFuncs=345,205,221,1,65,28,37,24,3,36_x000d__x000a_StickyPtX=574_x000d__x000a_StickyPtY=45 95" xfId="135"/>
    <cellStyle name="oft Excel]_x000d__x000a_Options5=1155_x000d__x000a_Pos=-12,9,1048,771_x000d__x000a_MRUFuncs=345,205,221,1,65,28,37,24,3,36_x000d__x000a_StickyPtX=574_x000d__x000a_StickyPtY=45 96" xfId="136"/>
    <cellStyle name="oft Excel]_x000d__x000a_Options5=1155_x000d__x000a_Pos=-12,9,1048,771_x000d__x000a_MRUFuncs=345,205,221,1,65,28,37,24,3,36_x000d__x000a_StickyPtX=574_x000d__x000a_StickyPtY=45 97" xfId="137"/>
    <cellStyle name="oft Excel]_x000d__x000a_Options5=1155_x000d__x000a_Pos=-12,9,1048,771_x000d__x000a_MRUFuncs=345,205,221,1,65,28,37,24,3,36_x000d__x000a_StickyPtX=574_x000d__x000a_StickyPtY=45 98" xfId="138"/>
    <cellStyle name="oft Excel]_x000d__x000a_Options5=1155_x000d__x000a_Pos=-12,9,1048,771_x000d__x000a_MRUFuncs=345,205,221,1,65,28,37,24,3,36_x000d__x000a_StickyPtX=574_x000d__x000a_StickyPtY=45 99" xfId="139"/>
    <cellStyle name="per.style" xfId="140"/>
    <cellStyle name="Percent [2]" xfId="141"/>
    <cellStyle name="price" xfId="142"/>
    <cellStyle name="PSChar" xfId="143"/>
    <cellStyle name="PSHeading" xfId="144"/>
    <cellStyle name="revised" xfId="145"/>
    <cellStyle name="section" xfId="146"/>
    <cellStyle name="Standaard_laroux" xfId="147"/>
    <cellStyle name="subhead" xfId="148"/>
    <cellStyle name="title" xfId="149"/>
    <cellStyle name="Valuta [0]_laroux" xfId="150"/>
    <cellStyle name="Valuta_laroux" xfId="151"/>
    <cellStyle name="アクセント 1" xfId="152" builtinId="29" customBuiltin="1"/>
    <cellStyle name="アクセント 2" xfId="153" builtinId="33" customBuiltin="1"/>
    <cellStyle name="アクセント 3" xfId="154" builtinId="37" customBuiltin="1"/>
    <cellStyle name="アクセント 4" xfId="155" builtinId="41" customBuiltin="1"/>
    <cellStyle name="アクセント 5" xfId="156" builtinId="45" customBuiltin="1"/>
    <cellStyle name="アクセント 6" xfId="157" builtinId="49" customBuiltin="1"/>
    <cellStyle name="センター" xfId="158"/>
    <cellStyle name="タイトル" xfId="159" builtinId="15" customBuiltin="1"/>
    <cellStyle name="チェック セル" xfId="160" builtinId="23" customBuiltin="1"/>
    <cellStyle name="どちらでもない" xfId="161" builtinId="28" customBuiltin="1"/>
    <cellStyle name="パーセント" xfId="314" builtinId="5"/>
    <cellStyle name="パーセント [0.00]" xfId="162"/>
    <cellStyle name="パーセント 2" xfId="163"/>
    <cellStyle name="パーセント 3" xfId="164"/>
    <cellStyle name="ハイパーリンク" xfId="313" builtinId="8"/>
    <cellStyle name="ハイパーリンク 2" xfId="165"/>
    <cellStyle name="メモ" xfId="166" builtinId="10" customBuiltin="1"/>
    <cellStyle name="リンク セル" xfId="167" builtinId="24" customBuiltin="1"/>
    <cellStyle name="悪い" xfId="168" builtinId="27" customBuiltin="1"/>
    <cellStyle name="計算" xfId="169" builtinId="22" customBuiltin="1"/>
    <cellStyle name="警告文" xfId="170" builtinId="11" customBuiltin="1"/>
    <cellStyle name="桁蟻唇Ｆ [0.00]_Sheet1" xfId="171"/>
    <cellStyle name="桁蟻唇Ｆ_Sheet1" xfId="172"/>
    <cellStyle name="桁区切り" xfId="315" builtinId="6"/>
    <cellStyle name="桁区切り [0.0]" xfId="173"/>
    <cellStyle name="桁区切り 2" xfId="174"/>
    <cellStyle name="桁区切り 3" xfId="175"/>
    <cellStyle name="桁区切り 4" xfId="176"/>
    <cellStyle name="桁区切り 5" xfId="177"/>
    <cellStyle name="月額" xfId="178"/>
    <cellStyle name="月日" xfId="179"/>
    <cellStyle name="見出し 1" xfId="180" builtinId="16" customBuiltin="1"/>
    <cellStyle name="見出し 2" xfId="181" builtinId="17" customBuiltin="1"/>
    <cellStyle name="見出し 3" xfId="182" builtinId="18" customBuiltin="1"/>
    <cellStyle name="見出し 4" xfId="183" builtinId="19" customBuiltin="1"/>
    <cellStyle name="工数内訳" xfId="184"/>
    <cellStyle name="三枝標準1" xfId="185"/>
    <cellStyle name="時間" xfId="186"/>
    <cellStyle name="集計" xfId="187" builtinId="25" customBuiltin="1"/>
    <cellStyle name="出力" xfId="188" builtinId="21" customBuiltin="1"/>
    <cellStyle name="人月" xfId="189"/>
    <cellStyle name="人日[0.00]" xfId="190"/>
    <cellStyle name="説明文" xfId="191" builtinId="53" customBuiltin="1"/>
    <cellStyle name="脱浦 [0.00]_laroux" xfId="192"/>
    <cellStyle name="脱浦_laroux" xfId="193"/>
    <cellStyle name="単価" xfId="194"/>
    <cellStyle name="通貨" xfId="316" builtinId="7"/>
    <cellStyle name="通貨 2" xfId="195"/>
    <cellStyle name="通貨合計" xfId="196"/>
    <cellStyle name="入力" xfId="197" builtinId="20" customBuiltin="1"/>
    <cellStyle name="年月日" xfId="198"/>
    <cellStyle name="破線" xfId="199"/>
    <cellStyle name="番号" xfId="200"/>
    <cellStyle name="標準" xfId="0" builtinId="0"/>
    <cellStyle name="標準 10" xfId="201"/>
    <cellStyle name="標準 100" xfId="202"/>
    <cellStyle name="標準 101" xfId="203"/>
    <cellStyle name="標準 102" xfId="204"/>
    <cellStyle name="標準 103" xfId="205"/>
    <cellStyle name="標準 104" xfId="206"/>
    <cellStyle name="標準 105" xfId="207"/>
    <cellStyle name="標準 106" xfId="208"/>
    <cellStyle name="標準 107" xfId="209"/>
    <cellStyle name="標準 11" xfId="210"/>
    <cellStyle name="標準 12" xfId="211"/>
    <cellStyle name="標準 13" xfId="212"/>
    <cellStyle name="標準 14" xfId="213"/>
    <cellStyle name="標準 15" xfId="214"/>
    <cellStyle name="標準 16" xfId="215"/>
    <cellStyle name="標準 17" xfId="216"/>
    <cellStyle name="標準 18" xfId="217"/>
    <cellStyle name="標準 19" xfId="218"/>
    <cellStyle name="標準 2" xfId="219"/>
    <cellStyle name="標準 2 2" xfId="220"/>
    <cellStyle name="標準 2_★企業間開発対象企業一覧_20111108_新規FLG付" xfId="221"/>
    <cellStyle name="標準 20" xfId="222"/>
    <cellStyle name="標準 21" xfId="223"/>
    <cellStyle name="標準 22" xfId="224"/>
    <cellStyle name="標準 23" xfId="225"/>
    <cellStyle name="標準 24" xfId="226"/>
    <cellStyle name="標準 25" xfId="227"/>
    <cellStyle name="標準 26" xfId="228"/>
    <cellStyle name="標準 27" xfId="229"/>
    <cellStyle name="標準 28" xfId="230"/>
    <cellStyle name="標準 29" xfId="231"/>
    <cellStyle name="標準 3" xfId="232"/>
    <cellStyle name="標準 30" xfId="233"/>
    <cellStyle name="標準 31" xfId="234"/>
    <cellStyle name="標準 32" xfId="235"/>
    <cellStyle name="標準 33" xfId="236"/>
    <cellStyle name="標準 34" xfId="237"/>
    <cellStyle name="標準 35" xfId="238"/>
    <cellStyle name="標準 36" xfId="239"/>
    <cellStyle name="標準 37" xfId="240"/>
    <cellStyle name="標準 38" xfId="241"/>
    <cellStyle name="標準 39" xfId="242"/>
    <cellStyle name="標準 4" xfId="243"/>
    <cellStyle name="標準 40" xfId="244"/>
    <cellStyle name="標準 41" xfId="245"/>
    <cellStyle name="標準 42" xfId="246"/>
    <cellStyle name="標準 43" xfId="247"/>
    <cellStyle name="標準 44" xfId="248"/>
    <cellStyle name="標準 45" xfId="249"/>
    <cellStyle name="標準 46" xfId="250"/>
    <cellStyle name="標準 47" xfId="251"/>
    <cellStyle name="標準 48" xfId="252"/>
    <cellStyle name="標準 49" xfId="253"/>
    <cellStyle name="標準 5" xfId="254"/>
    <cellStyle name="標準 50" xfId="255"/>
    <cellStyle name="標準 51" xfId="256"/>
    <cellStyle name="標準 52" xfId="257"/>
    <cellStyle name="標準 53" xfId="258"/>
    <cellStyle name="標準 54" xfId="259"/>
    <cellStyle name="標準 55" xfId="260"/>
    <cellStyle name="標準 56" xfId="261"/>
    <cellStyle name="標準 57" xfId="262"/>
    <cellStyle name="標準 58" xfId="263"/>
    <cellStyle name="標準 59" xfId="264"/>
    <cellStyle name="標準 6" xfId="265"/>
    <cellStyle name="標準 60" xfId="266"/>
    <cellStyle name="標準 61" xfId="267"/>
    <cellStyle name="標準 62" xfId="268"/>
    <cellStyle name="標準 63" xfId="269"/>
    <cellStyle name="標準 64" xfId="270"/>
    <cellStyle name="標準 65" xfId="271"/>
    <cellStyle name="標準 66" xfId="272"/>
    <cellStyle name="標準 67" xfId="273"/>
    <cellStyle name="標準 68" xfId="274"/>
    <cellStyle name="標準 69" xfId="275"/>
    <cellStyle name="標準 7" xfId="276"/>
    <cellStyle name="標準 70" xfId="277"/>
    <cellStyle name="標準 71" xfId="278"/>
    <cellStyle name="標準 72" xfId="279"/>
    <cellStyle name="標準 73" xfId="280"/>
    <cellStyle name="標準 74" xfId="281"/>
    <cellStyle name="標準 75" xfId="282"/>
    <cellStyle name="標準 76" xfId="283"/>
    <cellStyle name="標準 77" xfId="284"/>
    <cellStyle name="標準 78" xfId="285"/>
    <cellStyle name="標準 79" xfId="286"/>
    <cellStyle name="標準 8" xfId="287"/>
    <cellStyle name="標準 80" xfId="288"/>
    <cellStyle name="標準 81" xfId="289"/>
    <cellStyle name="標準 82" xfId="290"/>
    <cellStyle name="標準 83" xfId="291"/>
    <cellStyle name="標準 84" xfId="292"/>
    <cellStyle name="標準 85" xfId="293"/>
    <cellStyle name="標準 86" xfId="294"/>
    <cellStyle name="標準 87" xfId="295"/>
    <cellStyle name="標準 88" xfId="296"/>
    <cellStyle name="標準 89" xfId="297"/>
    <cellStyle name="標準 9" xfId="298"/>
    <cellStyle name="標準 90" xfId="299"/>
    <cellStyle name="標準 91" xfId="300"/>
    <cellStyle name="標準 92" xfId="301"/>
    <cellStyle name="標準 93" xfId="302"/>
    <cellStyle name="標準 94" xfId="303"/>
    <cellStyle name="標準 95" xfId="304"/>
    <cellStyle name="標準 96" xfId="305"/>
    <cellStyle name="標準 97" xfId="306"/>
    <cellStyle name="標準 98" xfId="307"/>
    <cellStyle name="標準 99" xfId="308"/>
    <cellStyle name="分" xfId="309"/>
    <cellStyle name="未定義" xfId="310"/>
    <cellStyle name="良い" xfId="311" builtinId="26" customBuiltin="1"/>
    <cellStyle name="湪　窉书〰〰〰" xfId="3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</xdr:row>
          <xdr:rowOff>9525</xdr:rowOff>
        </xdr:from>
        <xdr:to>
          <xdr:col>7</xdr:col>
          <xdr:colOff>266700</xdr:colOff>
          <xdr:row>3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1</xdr:row>
          <xdr:rowOff>9525</xdr:rowOff>
        </xdr:from>
        <xdr:to>
          <xdr:col>10</xdr:col>
          <xdr:colOff>190500</xdr:colOff>
          <xdr:row>3</xdr:row>
          <xdr:rowOff>104775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発行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1</xdr:row>
          <xdr:rowOff>9525</xdr:rowOff>
        </xdr:from>
        <xdr:to>
          <xdr:col>13</xdr:col>
          <xdr:colOff>76200</xdr:colOff>
          <xdr:row>3</xdr:row>
          <xdr:rowOff>104775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年次休暇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残日数反映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133.242.134.145:8080/SPP/view/sendpayadvice/sendpayadvice.html" TargetMode="External"/><Relationship Id="rId1" Type="http://schemas.openxmlformats.org/officeDocument/2006/relationships/hyperlink" Target="http://133.242.134.145:8080/SPP/view/setpayadvice/setpayadvice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001"/>
  <dimension ref="A2:AC42"/>
  <sheetViews>
    <sheetView tabSelected="1" workbookViewId="0"/>
  </sheetViews>
  <sheetFormatPr defaultRowHeight="13.5"/>
  <cols>
    <col min="1" max="1" width="2.75" style="1" customWidth="1"/>
    <col min="2" max="2" width="7.625" style="1" customWidth="1"/>
    <col min="3" max="3" width="11.5" style="1" customWidth="1"/>
    <col min="4" max="4" width="22.625" style="1" customWidth="1"/>
    <col min="5" max="5" width="7.625" style="1" customWidth="1"/>
    <col min="6" max="6" width="7.125" style="1" customWidth="1"/>
    <col min="7" max="12" width="5.625" style="1" customWidth="1"/>
    <col min="13" max="16384" width="9" style="1"/>
  </cols>
  <sheetData>
    <row r="2" spans="1:29" ht="14.25" thickBot="1">
      <c r="B2" s="134" t="s">
        <v>40</v>
      </c>
      <c r="C2" s="134"/>
      <c r="D2" s="134"/>
      <c r="E2" s="134"/>
      <c r="P2" s="65"/>
      <c r="Q2" s="1" t="s">
        <v>106</v>
      </c>
    </row>
    <row r="3" spans="1:29" ht="14.25" thickTop="1">
      <c r="B3" s="9" t="s">
        <v>0</v>
      </c>
      <c r="C3" s="26">
        <v>2013</v>
      </c>
      <c r="D3" s="9"/>
      <c r="E3" s="9"/>
      <c r="P3" s="66"/>
      <c r="Q3" s="1" t="s">
        <v>105</v>
      </c>
    </row>
    <row r="4" spans="1:29">
      <c r="B4" s="17" t="s">
        <v>1</v>
      </c>
      <c r="C4" s="25">
        <v>10</v>
      </c>
      <c r="D4" s="17" t="s">
        <v>2</v>
      </c>
      <c r="E4" s="17">
        <v>22</v>
      </c>
    </row>
    <row r="5" spans="1:29" s="29" customFormat="1">
      <c r="A5" s="29">
        <f>COLUMN()</f>
        <v>1</v>
      </c>
      <c r="B5" s="29">
        <f>COLUMN()</f>
        <v>2</v>
      </c>
      <c r="C5" s="29">
        <f>COLUMN()</f>
        <v>3</v>
      </c>
      <c r="D5" s="29">
        <f>COLUMN()</f>
        <v>4</v>
      </c>
      <c r="E5" s="29">
        <f>COLUMN()</f>
        <v>5</v>
      </c>
      <c r="F5" s="29">
        <f>COLUMN()</f>
        <v>6</v>
      </c>
      <c r="G5" s="29">
        <f>COLUMN()</f>
        <v>7</v>
      </c>
      <c r="H5" s="29">
        <f>COLUMN()</f>
        <v>8</v>
      </c>
      <c r="I5" s="29">
        <f>COLUMN()</f>
        <v>9</v>
      </c>
      <c r="J5" s="29">
        <f>COLUMN()</f>
        <v>10</v>
      </c>
      <c r="K5" s="29">
        <f>COLUMN()</f>
        <v>11</v>
      </c>
      <c r="L5" s="29">
        <f>COLUMN()</f>
        <v>12</v>
      </c>
      <c r="M5" s="29">
        <f>COLUMN()</f>
        <v>13</v>
      </c>
      <c r="N5" s="29">
        <f>COLUMN()</f>
        <v>14</v>
      </c>
      <c r="O5" s="29">
        <f>COLUMN()</f>
        <v>15</v>
      </c>
      <c r="P5" s="29">
        <f>COLUMN()</f>
        <v>16</v>
      </c>
      <c r="Q5" s="29">
        <f>COLUMN()</f>
        <v>17</v>
      </c>
      <c r="R5" s="29">
        <f>COLUMN()</f>
        <v>18</v>
      </c>
      <c r="S5" s="29">
        <f>COLUMN()</f>
        <v>19</v>
      </c>
      <c r="T5" s="29">
        <f>COLUMN()</f>
        <v>20</v>
      </c>
      <c r="U5" s="29">
        <f>COLUMN()</f>
        <v>21</v>
      </c>
      <c r="V5" s="29">
        <f>COLUMN()</f>
        <v>22</v>
      </c>
      <c r="W5" s="29">
        <f>COLUMN()</f>
        <v>23</v>
      </c>
      <c r="X5" s="29">
        <f>COLUMN()</f>
        <v>24</v>
      </c>
      <c r="Y5" s="29">
        <f>COLUMN()</f>
        <v>25</v>
      </c>
      <c r="Z5" s="29">
        <f>COLUMN()</f>
        <v>26</v>
      </c>
      <c r="AA5" s="29">
        <f>COLUMN()</f>
        <v>27</v>
      </c>
      <c r="AB5" s="29">
        <f>COLUMN()</f>
        <v>28</v>
      </c>
      <c r="AC5" s="29">
        <v>29</v>
      </c>
    </row>
    <row r="6" spans="1:29">
      <c r="B6" s="131" t="s">
        <v>3</v>
      </c>
      <c r="C6" s="132"/>
      <c r="D6" s="133"/>
      <c r="E6" s="135" t="s">
        <v>4</v>
      </c>
      <c r="F6" s="131" t="s">
        <v>5</v>
      </c>
      <c r="G6" s="132"/>
      <c r="H6" s="132"/>
      <c r="I6" s="133"/>
      <c r="J6" s="131" t="s">
        <v>6</v>
      </c>
      <c r="K6" s="132"/>
      <c r="L6" s="133"/>
      <c r="M6" s="131" t="s">
        <v>7</v>
      </c>
      <c r="N6" s="132"/>
      <c r="O6" s="132"/>
      <c r="P6" s="132"/>
      <c r="Q6" s="132"/>
      <c r="R6" s="132"/>
      <c r="S6" s="133"/>
      <c r="T6" s="131" t="s">
        <v>8</v>
      </c>
      <c r="U6" s="132"/>
      <c r="V6" s="132"/>
      <c r="W6" s="132"/>
      <c r="X6" s="133"/>
      <c r="Y6" s="131" t="s">
        <v>9</v>
      </c>
      <c r="Z6" s="132"/>
      <c r="AA6" s="132"/>
      <c r="AB6" s="133"/>
      <c r="AC6" s="129" t="s">
        <v>161</v>
      </c>
    </row>
    <row r="7" spans="1:29" ht="32.25" customHeight="1" thickBot="1">
      <c r="B7" s="85" t="s">
        <v>132</v>
      </c>
      <c r="C7" s="3" t="s">
        <v>11</v>
      </c>
      <c r="D7" s="4" t="s">
        <v>12</v>
      </c>
      <c r="E7" s="136"/>
      <c r="F7" s="2" t="s">
        <v>13</v>
      </c>
      <c r="G7" s="3" t="s">
        <v>14</v>
      </c>
      <c r="H7" s="82" t="s">
        <v>15</v>
      </c>
      <c r="I7" s="86" t="s">
        <v>135</v>
      </c>
      <c r="J7" s="2" t="s">
        <v>16</v>
      </c>
      <c r="K7" s="58" t="s">
        <v>17</v>
      </c>
      <c r="L7" s="4" t="s">
        <v>18</v>
      </c>
      <c r="M7" s="61" t="s">
        <v>19</v>
      </c>
      <c r="N7" s="120" t="s">
        <v>159</v>
      </c>
      <c r="O7" s="3" t="s">
        <v>21</v>
      </c>
      <c r="P7" s="58" t="s">
        <v>22</v>
      </c>
      <c r="Q7" s="5" t="s">
        <v>23</v>
      </c>
      <c r="R7" s="5" t="s">
        <v>24</v>
      </c>
      <c r="S7" s="6" t="s">
        <v>25</v>
      </c>
      <c r="T7" s="61" t="s">
        <v>26</v>
      </c>
      <c r="U7" s="58" t="s">
        <v>27</v>
      </c>
      <c r="V7" s="58" t="s">
        <v>28</v>
      </c>
      <c r="W7" s="5" t="s">
        <v>29</v>
      </c>
      <c r="X7" s="6" t="s">
        <v>30</v>
      </c>
      <c r="Y7" s="61" t="s">
        <v>31</v>
      </c>
      <c r="Z7" s="3" t="s">
        <v>32</v>
      </c>
      <c r="AA7" s="3"/>
      <c r="AB7" s="6" t="s">
        <v>34</v>
      </c>
      <c r="AC7" s="130"/>
    </row>
    <row r="8" spans="1:29" ht="28.5" hidden="1" customHeight="1" thickTop="1">
      <c r="B8" s="87" t="s">
        <v>136</v>
      </c>
      <c r="C8" s="88" t="s">
        <v>137</v>
      </c>
      <c r="D8" s="89" t="s">
        <v>138</v>
      </c>
      <c r="E8" s="90"/>
      <c r="F8" s="90" t="s">
        <v>139</v>
      </c>
      <c r="G8" s="91" t="s">
        <v>133</v>
      </c>
      <c r="H8" s="88" t="s">
        <v>140</v>
      </c>
      <c r="I8" s="92" t="s">
        <v>134</v>
      </c>
      <c r="J8" s="91" t="s">
        <v>141</v>
      </c>
      <c r="K8" s="93" t="s">
        <v>153</v>
      </c>
      <c r="L8" s="89" t="s">
        <v>142</v>
      </c>
      <c r="M8" s="94" t="s">
        <v>143</v>
      </c>
      <c r="N8" s="88" t="s">
        <v>144</v>
      </c>
      <c r="O8" s="88" t="s">
        <v>145</v>
      </c>
      <c r="P8" s="93" t="s">
        <v>146</v>
      </c>
      <c r="Q8" s="95"/>
      <c r="R8" s="95" t="s">
        <v>147</v>
      </c>
      <c r="S8" s="96"/>
      <c r="T8" s="94" t="s">
        <v>148</v>
      </c>
      <c r="U8" s="93" t="s">
        <v>149</v>
      </c>
      <c r="V8" s="93" t="s">
        <v>150</v>
      </c>
      <c r="W8" s="95"/>
      <c r="X8" s="96"/>
      <c r="Y8" s="94" t="s">
        <v>151</v>
      </c>
      <c r="Z8" s="88" t="s">
        <v>152</v>
      </c>
      <c r="AA8" s="88"/>
      <c r="AB8" s="96"/>
      <c r="AC8" s="9"/>
    </row>
    <row r="9" spans="1:29" ht="13.5" customHeight="1" thickTop="1">
      <c r="B9" s="27">
        <v>1</v>
      </c>
      <c r="C9" s="7" t="s">
        <v>42</v>
      </c>
      <c r="D9" s="8" t="s">
        <v>43</v>
      </c>
      <c r="E9" s="34" t="s">
        <v>39</v>
      </c>
      <c r="F9" s="121"/>
      <c r="G9" s="122"/>
      <c r="H9" s="83">
        <f>$E$4-G9</f>
        <v>22</v>
      </c>
      <c r="I9" s="68">
        <f>IF(ISNA(VLOOKUP($B9,基本給DB!$B$4:$K$43,基本給DB!E$2,FALSE)),0,VLOOKUP($B9,基本給DB!$B$4:$K$43,基本給DB!E$2,FALSE))</f>
        <v>3</v>
      </c>
      <c r="J9" s="10"/>
      <c r="K9" s="59">
        <f>IF(ISNA(VLOOKUP($B9,基本給DB!$B$4:$K$43,基本給DB!K$2,FALSE)),0,VLOOKUP($B9,基本給DB!$B$4:$K$43,基本給DB!K$2,FALSE))-J9</f>
        <v>24</v>
      </c>
      <c r="L9" s="12"/>
      <c r="M9" s="62">
        <f>IF(ISNA(VLOOKUP($B9,基本給DB!$B$4:$K$43,基本給DB!G$2,FALSE)),0,VLOOKUP($B9,基本給DB!$B$4:$K$43,基本給DB!G$2,FALSE))</f>
        <v>1000000</v>
      </c>
      <c r="N9" s="11"/>
      <c r="O9" s="11"/>
      <c r="P9" s="59">
        <f>IF(ISNA(VLOOKUP($B9,基本給DB!$B$4:$K$43,基本給DB!J$2,FALSE)),0,VLOOKUP($B9,基本給DB!$B$4:$K$43,基本給DB!J$2,FALSE))</f>
        <v>25680</v>
      </c>
      <c r="Q9" s="13">
        <f>SUM(M9:P9)</f>
        <v>1025680</v>
      </c>
      <c r="R9" s="13">
        <f>SUM(O9:P9)</f>
        <v>25680</v>
      </c>
      <c r="S9" s="14">
        <f>Q9-R9</f>
        <v>1000000</v>
      </c>
      <c r="T9" s="62">
        <f ca="1">IF(ISNA(VLOOKUP($B9,基本給DB!$B$4:$K$43,基本給DB!H$2,FALSE)),0,VLOOKUP($B9,基本給DB!$B$4:$K$43,基本給DB!H$2,FALSE))</f>
        <v>56448</v>
      </c>
      <c r="U9" s="59">
        <f ca="1">IF(ISNA(VLOOKUP($B9,基本給DB!$B$4:$K$43,基本給DB!I$2,FALSE)),0,VLOOKUP($B9,基本給DB!$B$4:$K$43,基本給DB!I$2,FALSE))</f>
        <v>51974.6</v>
      </c>
      <c r="V9" s="59">
        <f>Q9*マスタ!$E$10</f>
        <v>5128.4000000000005</v>
      </c>
      <c r="W9" s="13">
        <f ca="1">SUM(T9:V9)</f>
        <v>113551</v>
      </c>
      <c r="X9" s="14">
        <f ca="1">S9-W9</f>
        <v>886449</v>
      </c>
      <c r="Y9" s="62">
        <f ca="1">IF(ISNA(VLOOKUP($B9,基本給DB!$B$4:$S$43,基本給DB!Q$2,FALSE)),0,VLOOKUP($B9,基本給DB!$B$4:$S$43,基本給DB!Q$2,FALSE))</f>
        <v>211089</v>
      </c>
      <c r="Z9" s="11">
        <v>50500</v>
      </c>
      <c r="AA9" s="11"/>
      <c r="AB9" s="14">
        <f ca="1">SUM(Y9:AA9)</f>
        <v>261589</v>
      </c>
      <c r="AC9" s="125">
        <f ca="1">Q9-(W9+AB9)</f>
        <v>650540</v>
      </c>
    </row>
    <row r="10" spans="1:29">
      <c r="B10" s="28">
        <v>2</v>
      </c>
      <c r="C10" s="15" t="s">
        <v>44</v>
      </c>
      <c r="D10" s="16" t="s">
        <v>45</v>
      </c>
      <c r="E10" s="35" t="s">
        <v>162</v>
      </c>
      <c r="F10" s="121">
        <v>168</v>
      </c>
      <c r="G10" s="122">
        <v>22</v>
      </c>
      <c r="H10" s="84">
        <f t="shared" ref="H10:H42" si="0">$E$4-G10</f>
        <v>0</v>
      </c>
      <c r="I10" s="69">
        <f>IF(ISNA(VLOOKUP($B10,基本給DB!$B$4:$K$43,基本給DB!E$2,FALSE)),0,VLOOKUP($B10,基本給DB!$B$4:$K$43,基本給DB!E$2,FALSE))</f>
        <v>0</v>
      </c>
      <c r="J10" s="18"/>
      <c r="K10" s="60">
        <f>IF(ISNA(VLOOKUP($B10,基本給DB!$B$4:$K$43,基本給DB!K$2,FALSE)),0,VLOOKUP($B10,基本給DB!$B$4:$K$43,基本給DB!K$2,FALSE))-J10</f>
        <v>24</v>
      </c>
      <c r="L10" s="20"/>
      <c r="M10" s="63">
        <f>IF(ISNA(VLOOKUP($B10,基本給DB!$B$4:$K$43,基本給DB!G$2,FALSE)),0,VLOOKUP($B10,基本給DB!$B$4:$K$43,基本給DB!G$2,FALSE))</f>
        <v>420000</v>
      </c>
      <c r="N10" s="19"/>
      <c r="O10" s="19"/>
      <c r="P10" s="60">
        <f>IF(ISNA(VLOOKUP($B10,基本給DB!$B$4:$K$43,基本給DB!J$2,FALSE)),0,VLOOKUP($B10,基本給DB!$B$4:$K$43,基本給DB!J$2,FALSE))</f>
        <v>20720</v>
      </c>
      <c r="Q10" s="21">
        <f t="shared" ref="Q10:Q42" si="1">SUM(M10:P10)</f>
        <v>440720</v>
      </c>
      <c r="R10" s="21">
        <f t="shared" ref="R10:R42" si="2">SUM(O10:P10)</f>
        <v>20720</v>
      </c>
      <c r="S10" s="22">
        <f t="shared" ref="S10:S42" si="3">Q10-R10</f>
        <v>420000</v>
      </c>
      <c r="T10" s="63">
        <f ca="1">IF(ISNA(VLOOKUP($B10,基本給DB!$B$4:$K$43,基本給DB!H$2,FALSE)),0,VLOOKUP($B10,基本給DB!$B$4:$K$43,基本給DB!H$2,FALSE))</f>
        <v>20438.5</v>
      </c>
      <c r="U10" s="60">
        <f ca="1">IF(ISNA(VLOOKUP($B10,基本給DB!$B$4:$K$43,基本給DB!I$2,FALSE)),0,VLOOKUP($B10,基本給DB!$B$4:$K$43,基本給DB!I$2,FALSE))</f>
        <v>34370.300000000003</v>
      </c>
      <c r="V10" s="60">
        <f>Q10*マスタ!$E$10</f>
        <v>2203.6</v>
      </c>
      <c r="W10" s="21">
        <f t="shared" ref="W10:W42" ca="1" si="4">SUM(T10:V10)</f>
        <v>57012.4</v>
      </c>
      <c r="X10" s="22">
        <f t="shared" ref="X10:X42" ca="1" si="5">S10-W10</f>
        <v>362987.6</v>
      </c>
      <c r="Y10" s="63">
        <f ca="1">IF(ISNA(VLOOKUP($B10,基本給DB!$B$4:$S$43,基本給DB!Q$2,FALSE)),0,VLOOKUP($B10,基本給DB!$B$4:$S$43,基本給DB!Q$2,FALSE))</f>
        <v>35199</v>
      </c>
      <c r="Z10" s="19">
        <v>19400</v>
      </c>
      <c r="AA10" s="19"/>
      <c r="AB10" s="22">
        <f t="shared" ref="AB10:AB42" ca="1" si="6">SUM(Y10:AA10)</f>
        <v>54599</v>
      </c>
      <c r="AC10" s="125">
        <f t="shared" ref="AC10:AC42" ca="1" si="7">Q10-(W10+AB10)</f>
        <v>329108.59999999998</v>
      </c>
    </row>
    <row r="11" spans="1:29">
      <c r="B11" s="28">
        <v>3</v>
      </c>
      <c r="C11" s="15" t="s">
        <v>46</v>
      </c>
      <c r="D11" s="16" t="s">
        <v>47</v>
      </c>
      <c r="E11" s="35" t="s">
        <v>39</v>
      </c>
      <c r="F11" s="121"/>
      <c r="G11" s="122"/>
      <c r="H11" s="84">
        <f t="shared" si="0"/>
        <v>22</v>
      </c>
      <c r="I11" s="69">
        <f>IF(ISNA(VLOOKUP($B11,基本給DB!$B$4:$K$43,基本給DB!E$2,FALSE)),0,VLOOKUP($B11,基本給DB!$B$4:$K$43,基本給DB!E$2,FALSE))</f>
        <v>3</v>
      </c>
      <c r="J11" s="18"/>
      <c r="K11" s="60">
        <f>IF(ISNA(VLOOKUP($B11,基本給DB!$B$4:$K$43,基本給DB!K$2,FALSE)),0,VLOOKUP($B11,基本給DB!$B$4:$K$43,基本給DB!K$2,FALSE))-J11</f>
        <v>24</v>
      </c>
      <c r="L11" s="20"/>
      <c r="M11" s="63">
        <f>IF(ISNA(VLOOKUP($B11,基本給DB!$B$4:$K$43,基本給DB!G$2,FALSE)),0,VLOOKUP($B11,基本給DB!$B$4:$K$43,基本給DB!G$2,FALSE))</f>
        <v>300000</v>
      </c>
      <c r="N11" s="19"/>
      <c r="O11" s="19"/>
      <c r="P11" s="60">
        <f>IF(ISNA(VLOOKUP($B11,基本給DB!$B$4:$K$43,基本給DB!J$2,FALSE)),0,VLOOKUP($B11,基本給DB!$B$4:$K$43,基本給DB!J$2,FALSE))</f>
        <v>0</v>
      </c>
      <c r="Q11" s="21">
        <f t="shared" si="1"/>
        <v>300000</v>
      </c>
      <c r="R11" s="21">
        <f t="shared" si="2"/>
        <v>0</v>
      </c>
      <c r="S11" s="22">
        <f t="shared" si="3"/>
        <v>300000</v>
      </c>
      <c r="T11" s="63">
        <f ca="1">IF(ISNA(VLOOKUP($B11,基本給DB!$B$4:$K$43,基本給DB!H$2,FALSE)),0,VLOOKUP($B11,基本給DB!$B$4:$K$43,基本給DB!H$2,FALSE))</f>
        <v>17280</v>
      </c>
      <c r="U11" s="60">
        <f ca="1">IF(ISNA(VLOOKUP($B11,基本給DB!$B$4:$K$43,基本給DB!I$2,FALSE)),0,VLOOKUP($B11,基本給DB!$B$4:$K$43,基本給DB!I$2,FALSE))</f>
        <v>25149</v>
      </c>
      <c r="V11" s="60">
        <f>Q11*マスタ!$E$10</f>
        <v>1500</v>
      </c>
      <c r="W11" s="21">
        <f t="shared" ca="1" si="4"/>
        <v>43929</v>
      </c>
      <c r="X11" s="22">
        <f t="shared" ca="1" si="5"/>
        <v>256071</v>
      </c>
      <c r="Y11" s="63">
        <f ca="1">IF(ISNA(VLOOKUP($B11,基本給DB!$B$4:$S$43,基本給DB!Q$2,FALSE)),0,VLOOKUP($B11,基本給DB!$B$4:$S$43,基本給DB!Q$2,FALSE))</f>
        <v>3856</v>
      </c>
      <c r="Z11" s="19">
        <v>9200</v>
      </c>
      <c r="AA11" s="19"/>
      <c r="AB11" s="22">
        <f t="shared" ca="1" si="6"/>
        <v>13056</v>
      </c>
      <c r="AC11" s="125">
        <f t="shared" ca="1" si="7"/>
        <v>243015</v>
      </c>
    </row>
    <row r="12" spans="1:29">
      <c r="B12" s="28">
        <v>8</v>
      </c>
      <c r="C12" s="15" t="s">
        <v>110</v>
      </c>
      <c r="D12" s="16" t="s">
        <v>111</v>
      </c>
      <c r="E12" s="35" t="s">
        <v>39</v>
      </c>
      <c r="F12" s="121"/>
      <c r="G12" s="122"/>
      <c r="H12" s="84">
        <f t="shared" si="0"/>
        <v>22</v>
      </c>
      <c r="I12" s="69">
        <f>IF(ISNA(VLOOKUP($B12,基本給DB!$B$4:$K$43,基本給DB!E$2,FALSE)),0,VLOOKUP($B12,基本給DB!$B$4:$K$43,基本給DB!E$2,FALSE))</f>
        <v>0</v>
      </c>
      <c r="J12" s="18"/>
      <c r="K12" s="60">
        <f>IF(ISNA(VLOOKUP($B12,基本給DB!$B$4:$K$43,基本給DB!K$2,FALSE)),0,VLOOKUP($B12,基本給DB!$B$4:$K$43,基本給DB!K$2,FALSE))-J12</f>
        <v>24</v>
      </c>
      <c r="L12" s="20"/>
      <c r="M12" s="63">
        <f>IF(ISNA(VLOOKUP($B12,基本給DB!$B$4:$K$43,基本給DB!G$2,FALSE)),0,VLOOKUP($B12,基本給DB!$B$4:$K$43,基本給DB!G$2,FALSE))</f>
        <v>260000</v>
      </c>
      <c r="N12" s="19"/>
      <c r="O12" s="19"/>
      <c r="P12" s="60">
        <f>IF(ISNA(VLOOKUP($B12,基本給DB!$B$4:$K$43,基本給DB!J$2,FALSE)),0,VLOOKUP($B12,基本給DB!$B$4:$K$43,基本給DB!J$2,FALSE))</f>
        <v>20100</v>
      </c>
      <c r="Q12" s="84">
        <f t="shared" si="1"/>
        <v>280100</v>
      </c>
      <c r="R12" s="84">
        <f t="shared" si="2"/>
        <v>20100</v>
      </c>
      <c r="S12" s="69">
        <f t="shared" si="3"/>
        <v>260000</v>
      </c>
      <c r="T12" s="63">
        <f ca="1">IF(ISNA(VLOOKUP($B12,基本給DB!$B$4:$K$43,基本給DB!H$2,FALSE)),0,VLOOKUP($B12,基本給DB!$B$4:$K$43,基本給DB!H$2,FALSE))</f>
        <v>12961</v>
      </c>
      <c r="U12" s="60">
        <f ca="1">IF(ISNA(VLOOKUP($B12,基本給DB!$B$4:$K$43,基本給DB!I$2,FALSE)),0,VLOOKUP($B12,基本給DB!$B$4:$K$43,基本給DB!I$2,FALSE))</f>
        <v>21795.8</v>
      </c>
      <c r="V12" s="60">
        <f>Q12*マスタ!$E$10</f>
        <v>1400.5</v>
      </c>
      <c r="W12" s="84">
        <f t="shared" ca="1" si="4"/>
        <v>36157.300000000003</v>
      </c>
      <c r="X12" s="69">
        <f t="shared" ca="1" si="5"/>
        <v>223842.7</v>
      </c>
      <c r="Y12" s="63">
        <f ca="1">IF(ISNA(VLOOKUP($B12,基本給DB!$B$4:$S$43,基本給DB!Q$2,FALSE)),0,VLOOKUP($B12,基本給DB!$B$4:$S$43,基本給DB!Q$2,FALSE))</f>
        <v>7308</v>
      </c>
      <c r="Z12" s="19">
        <v>10300</v>
      </c>
      <c r="AA12" s="19"/>
      <c r="AB12" s="22">
        <f t="shared" ca="1" si="6"/>
        <v>17608</v>
      </c>
      <c r="AC12" s="125">
        <f t="shared" ca="1" si="7"/>
        <v>226334.7</v>
      </c>
    </row>
    <row r="13" spans="1:29">
      <c r="B13" s="28">
        <v>9</v>
      </c>
      <c r="C13" s="15" t="s">
        <v>112</v>
      </c>
      <c r="D13" s="16" t="s">
        <v>113</v>
      </c>
      <c r="E13" s="35" t="s">
        <v>39</v>
      </c>
      <c r="F13" s="121"/>
      <c r="G13" s="122"/>
      <c r="H13" s="84">
        <f t="shared" si="0"/>
        <v>22</v>
      </c>
      <c r="I13" s="69">
        <f>IF(ISNA(VLOOKUP($B13,基本給DB!$B$4:$K$43,基本給DB!E$2,FALSE)),0,VLOOKUP($B13,基本給DB!$B$4:$K$43,基本給DB!E$2,FALSE))</f>
        <v>0</v>
      </c>
      <c r="J13" s="18"/>
      <c r="K13" s="60">
        <f>IF(ISNA(VLOOKUP($B13,基本給DB!$B$4:$K$43,基本給DB!K$2,FALSE)),0,VLOOKUP($B13,基本給DB!$B$4:$K$43,基本給DB!K$2,FALSE))-J13</f>
        <v>24</v>
      </c>
      <c r="L13" s="20"/>
      <c r="M13" s="63">
        <f>IF(ISNA(VLOOKUP($B13,基本給DB!$B$4:$K$43,基本給DB!G$2,FALSE)),0,VLOOKUP($B13,基本給DB!$B$4:$K$43,基本給DB!G$2,FALSE))</f>
        <v>260000</v>
      </c>
      <c r="N13" s="19"/>
      <c r="O13" s="19"/>
      <c r="P13" s="60">
        <f>IF(ISNA(VLOOKUP($B13,基本給DB!$B$4:$K$43,基本給DB!J$2,FALSE)),0,VLOOKUP($B13,基本給DB!$B$4:$K$43,基本給DB!J$2,FALSE))</f>
        <v>3328</v>
      </c>
      <c r="Q13" s="84">
        <f t="shared" si="1"/>
        <v>263328</v>
      </c>
      <c r="R13" s="84">
        <f t="shared" si="2"/>
        <v>3328</v>
      </c>
      <c r="S13" s="69">
        <f t="shared" si="3"/>
        <v>260000</v>
      </c>
      <c r="T13" s="63">
        <f ca="1">IF(ISNA(VLOOKUP($B13,基本給DB!$B$4:$K$43,基本給DB!H$2,FALSE)),0,VLOOKUP($B13,基本給DB!$B$4:$K$43,基本給DB!H$2,FALSE))</f>
        <v>12961</v>
      </c>
      <c r="U13" s="60">
        <f ca="1">IF(ISNA(VLOOKUP($B13,基本給DB!$B$4:$K$43,基本給DB!I$2,FALSE)),0,VLOOKUP($B13,基本給DB!$B$4:$K$43,基本給DB!I$2,FALSE))</f>
        <v>21795.8</v>
      </c>
      <c r="V13" s="60">
        <f>Q13*マスタ!$E$10</f>
        <v>1316.64</v>
      </c>
      <c r="W13" s="84">
        <f t="shared" ca="1" si="4"/>
        <v>36073.440000000002</v>
      </c>
      <c r="X13" s="69">
        <f t="shared" ca="1" si="5"/>
        <v>223926.56</v>
      </c>
      <c r="Y13" s="63">
        <f ca="1">IF(ISNA(VLOOKUP($B13,基本給DB!$B$4:$S$43,基本給DB!Q$2,FALSE)),0,VLOOKUP($B13,基本給DB!$B$4:$S$43,基本給DB!Q$2,FALSE))</f>
        <v>7309</v>
      </c>
      <c r="Z13" s="19">
        <v>10000</v>
      </c>
      <c r="AA13" s="19"/>
      <c r="AB13" s="69">
        <f t="shared" ca="1" si="6"/>
        <v>17309</v>
      </c>
      <c r="AC13" s="125">
        <f t="shared" ca="1" si="7"/>
        <v>209945.56</v>
      </c>
    </row>
    <row r="14" spans="1:29">
      <c r="B14" s="111">
        <v>11</v>
      </c>
      <c r="C14" s="112" t="s">
        <v>114</v>
      </c>
      <c r="D14" s="126" t="s">
        <v>115</v>
      </c>
      <c r="E14" s="127" t="s">
        <v>39</v>
      </c>
      <c r="F14" s="121"/>
      <c r="G14" s="122"/>
      <c r="H14" s="84">
        <f t="shared" si="0"/>
        <v>22</v>
      </c>
      <c r="I14" s="69">
        <f>IF(ISNA(VLOOKUP($B14,基本給DB!$B$4:$K$43,基本給DB!E$2,FALSE)),0,VLOOKUP($B14,基本給DB!$B$4:$K$43,基本給DB!E$2,FALSE))</f>
        <v>0</v>
      </c>
      <c r="J14" s="114"/>
      <c r="K14" s="60">
        <f>IF(ISNA(VLOOKUP($B14,基本給DB!$B$4:$K$43,基本給DB!K$2,FALSE)),0,VLOOKUP($B14,基本給DB!$B$4:$K$43,基本給DB!K$2,FALSE))-J14</f>
        <v>20</v>
      </c>
      <c r="L14" s="113"/>
      <c r="M14" s="63">
        <f>IF(ISNA(VLOOKUP($B14,基本給DB!$B$4:$K$43,基本給DB!G$2,FALSE)),0,VLOOKUP($B14,基本給DB!$B$4:$K$43,基本給DB!G$2,FALSE))</f>
        <v>225000</v>
      </c>
      <c r="N14" s="100"/>
      <c r="O14" s="100"/>
      <c r="P14" s="60">
        <f>IF(ISNA(VLOOKUP($B14,基本給DB!$B$4:$K$43,基本給DB!J$2,FALSE)),0,VLOOKUP($B14,基本給DB!$B$4:$K$43,基本給DB!J$2,FALSE))</f>
        <v>170000</v>
      </c>
      <c r="Q14" s="84">
        <f t="shared" si="1"/>
        <v>395000</v>
      </c>
      <c r="R14" s="84">
        <f t="shared" si="2"/>
        <v>170000</v>
      </c>
      <c r="S14" s="69">
        <f t="shared" si="3"/>
        <v>225000</v>
      </c>
      <c r="T14" s="63">
        <f ca="1">IF(ISNA(VLOOKUP($B14,基本給DB!$B$4:$K$43,基本給DB!H$2,FALSE)),0,VLOOKUP($B14,基本給DB!$B$4:$K$43,基本給DB!H$2,FALSE))</f>
        <v>10967</v>
      </c>
      <c r="U14" s="60">
        <f ca="1">IF(ISNA(VLOOKUP($B14,基本給DB!$B$4:$K$43,基本給DB!I$2,FALSE)),0,VLOOKUP($B14,基本給DB!$B$4:$K$43,基本給DB!I$2,FALSE))</f>
        <v>18442.599999999999</v>
      </c>
      <c r="V14" s="60">
        <f>Q14*マスタ!$E$10</f>
        <v>1975</v>
      </c>
      <c r="W14" s="84">
        <f t="shared" ca="1" si="4"/>
        <v>31384.6</v>
      </c>
      <c r="X14" s="69">
        <f t="shared" ca="1" si="5"/>
        <v>193615.4</v>
      </c>
      <c r="Y14" s="63">
        <f ca="1">IF(ISNA(VLOOKUP($B14,基本給DB!$B$4:$S$43,基本給DB!Q$2,FALSE)),0,VLOOKUP($B14,基本給DB!$B$4:$S$43,基本給DB!Q$2,FALSE))</f>
        <v>6012</v>
      </c>
      <c r="Z14" s="100">
        <v>1400</v>
      </c>
      <c r="AA14" s="100"/>
      <c r="AB14" s="69">
        <f t="shared" ca="1" si="6"/>
        <v>7412</v>
      </c>
      <c r="AC14" s="125">
        <f t="shared" ca="1" si="7"/>
        <v>356203.4</v>
      </c>
    </row>
    <row r="15" spans="1:29">
      <c r="B15" s="28">
        <v>12</v>
      </c>
      <c r="C15" s="15" t="s">
        <v>116</v>
      </c>
      <c r="D15" s="16" t="s">
        <v>158</v>
      </c>
      <c r="E15" s="35" t="s">
        <v>39</v>
      </c>
      <c r="F15" s="121"/>
      <c r="G15" s="122"/>
      <c r="H15" s="84">
        <f t="shared" si="0"/>
        <v>22</v>
      </c>
      <c r="I15" s="69">
        <f>IF(ISNA(VLOOKUP($B15,基本給DB!$B$4:$K$43,基本給DB!E$2,FALSE)),0,VLOOKUP($B15,基本給DB!$B$4:$K$43,基本給DB!E$2,FALSE))</f>
        <v>0</v>
      </c>
      <c r="J15" s="18"/>
      <c r="K15" s="60">
        <f>IF(ISNA(VLOOKUP($B15,基本給DB!$B$4:$K$43,基本給DB!K$2,FALSE)),0,VLOOKUP($B15,基本給DB!$B$4:$K$43,基本給DB!K$2,FALSE))-J15</f>
        <v>20</v>
      </c>
      <c r="L15" s="20"/>
      <c r="M15" s="63">
        <f>IF(ISNA(VLOOKUP($B15,基本給DB!$B$4:$K$43,基本給DB!G$2,FALSE)),0,VLOOKUP($B15,基本給DB!$B$4:$K$43,基本給DB!G$2,FALSE))</f>
        <v>225000</v>
      </c>
      <c r="N15" s="19"/>
      <c r="O15" s="19"/>
      <c r="P15" s="124">
        <f>IF(ISNA(VLOOKUP($B15,基本給DB!$B$4:$K$43,基本給DB!J$2,FALSE)),0,VLOOKUP($B15,基本給DB!$B$4:$K$43,基本給DB!J$2,FALSE))</f>
        <v>21210</v>
      </c>
      <c r="Q15" s="84">
        <f t="shared" si="1"/>
        <v>246210</v>
      </c>
      <c r="R15" s="84">
        <f t="shared" si="2"/>
        <v>21210</v>
      </c>
      <c r="S15" s="69">
        <f t="shared" si="3"/>
        <v>225000</v>
      </c>
      <c r="T15" s="63">
        <f ca="1">IF(ISNA(VLOOKUP($B15,基本給DB!$B$4:$K$43,基本給DB!H$2,FALSE)),0,VLOOKUP($B15,基本給DB!$B$4:$K$43,基本給DB!H$2,FALSE))</f>
        <v>10967</v>
      </c>
      <c r="U15" s="60">
        <f ca="1">IF(ISNA(VLOOKUP($B15,基本給DB!$B$4:$K$43,基本給DB!I$2,FALSE)),0,VLOOKUP($B15,基本給DB!$B$4:$K$43,基本給DB!I$2,FALSE))</f>
        <v>18442.599999999999</v>
      </c>
      <c r="V15" s="60">
        <f>Q15*マスタ!$E$10</f>
        <v>1231.05</v>
      </c>
      <c r="W15" s="84">
        <f t="shared" ca="1" si="4"/>
        <v>30640.649999999998</v>
      </c>
      <c r="X15" s="69">
        <f t="shared" ca="1" si="5"/>
        <v>194359.35</v>
      </c>
      <c r="Y15" s="63">
        <f ca="1">IF(ISNA(VLOOKUP($B15,基本給DB!$B$4:$S$43,基本給DB!Q$2,FALSE)),0,VLOOKUP($B15,基本給DB!$B$4:$S$43,基本給DB!Q$2,FALSE))</f>
        <v>6001</v>
      </c>
      <c r="Z15" s="19">
        <v>1500</v>
      </c>
      <c r="AA15" s="19"/>
      <c r="AB15" s="69">
        <f t="shared" ca="1" si="6"/>
        <v>7501</v>
      </c>
      <c r="AC15" s="125">
        <f t="shared" ca="1" si="7"/>
        <v>208068.35</v>
      </c>
    </row>
    <row r="16" spans="1:29">
      <c r="B16" s="28"/>
      <c r="C16" s="15"/>
      <c r="D16" s="16"/>
      <c r="E16" s="35" t="s">
        <v>162</v>
      </c>
      <c r="F16" s="121"/>
      <c r="G16" s="122"/>
      <c r="H16" s="84">
        <f t="shared" si="0"/>
        <v>22</v>
      </c>
      <c r="I16" s="69">
        <f>IF(ISNA(VLOOKUP($B16,基本給DB!$B$4:$K$43,基本給DB!E$2,FALSE)),0,VLOOKUP($B16,基本給DB!$B$4:$K$43,基本給DB!E$2,FALSE))</f>
        <v>0</v>
      </c>
      <c r="J16" s="18"/>
      <c r="K16" s="60">
        <f>IF(ISNA(VLOOKUP($B16,基本給DB!$B$4:$K$43,基本給DB!K$2,FALSE)),0,VLOOKUP($B16,基本給DB!$B$4:$K$43,基本給DB!K$2,FALSE))-J16</f>
        <v>0</v>
      </c>
      <c r="L16" s="20"/>
      <c r="M16" s="63">
        <f>IF(ISNA(VLOOKUP($B16,基本給DB!$B$4:$K$43,基本給DB!G$2,FALSE)),0,VLOOKUP($B16,基本給DB!$B$4:$K$43,基本給DB!G$2,FALSE))</f>
        <v>0</v>
      </c>
      <c r="N16" s="19"/>
      <c r="O16" s="19"/>
      <c r="P16" s="60">
        <f>IF(ISNA(VLOOKUP($B16,基本給DB!$B$4:$K$43,基本給DB!J$2,FALSE)),0,VLOOKUP($B16,基本給DB!$B$4:$K$43,基本給DB!J$2,FALSE))</f>
        <v>0</v>
      </c>
      <c r="Q16" s="84">
        <f t="shared" si="1"/>
        <v>0</v>
      </c>
      <c r="R16" s="84">
        <f t="shared" si="2"/>
        <v>0</v>
      </c>
      <c r="S16" s="69">
        <f t="shared" si="3"/>
        <v>0</v>
      </c>
      <c r="T16" s="63">
        <f>IF(ISNA(VLOOKUP($B16,基本給DB!$B$4:$K$43,基本給DB!H$2,FALSE)),0,VLOOKUP($B16,基本給DB!$B$4:$K$43,基本給DB!H$2,FALSE))</f>
        <v>0</v>
      </c>
      <c r="U16" s="60">
        <f>IF(ISNA(VLOOKUP($B16,基本給DB!$B$4:$K$43,基本給DB!I$2,FALSE)),0,VLOOKUP($B16,基本給DB!$B$4:$K$43,基本給DB!I$2,FALSE))</f>
        <v>0</v>
      </c>
      <c r="V16" s="60">
        <f>Q16*マスタ!$E$10</f>
        <v>0</v>
      </c>
      <c r="W16" s="84">
        <f t="shared" si="4"/>
        <v>0</v>
      </c>
      <c r="X16" s="69">
        <f t="shared" si="5"/>
        <v>0</v>
      </c>
      <c r="Y16" s="63">
        <f>IF(ISNA(VLOOKUP($B16,基本給DB!$B$4:$S$43,基本給DB!Q$2,FALSE)),0,VLOOKUP($B16,基本給DB!$B$4:$S$43,基本給DB!Q$2,FALSE))</f>
        <v>0</v>
      </c>
      <c r="Z16" s="19"/>
      <c r="AA16" s="19"/>
      <c r="AB16" s="69">
        <f t="shared" si="6"/>
        <v>0</v>
      </c>
      <c r="AC16" s="125">
        <f t="shared" si="7"/>
        <v>0</v>
      </c>
    </row>
    <row r="17" spans="2:29">
      <c r="B17" s="28"/>
      <c r="C17" s="15"/>
      <c r="D17" s="16"/>
      <c r="E17" s="123" t="s">
        <v>162</v>
      </c>
      <c r="F17" s="97"/>
      <c r="G17" s="100"/>
      <c r="H17" s="84">
        <f t="shared" si="0"/>
        <v>22</v>
      </c>
      <c r="I17" s="69">
        <f>IF(ISNA(VLOOKUP($B17,基本給DB!$B$4:$K$43,基本給DB!E$2,FALSE)),0,VLOOKUP($B17,基本給DB!$B$4:$K$43,基本給DB!E$2,FALSE))</f>
        <v>0</v>
      </c>
      <c r="J17" s="18"/>
      <c r="K17" s="60">
        <f>IF(ISNA(VLOOKUP($B17,基本給DB!$B$4:$K$43,基本給DB!K$2,FALSE)),0,VLOOKUP($B17,基本給DB!$B$4:$K$43,基本給DB!K$2,FALSE))-J17</f>
        <v>0</v>
      </c>
      <c r="L17" s="20"/>
      <c r="M17" s="63">
        <f>IF(ISNA(VLOOKUP($B17,基本給DB!$B$4:$K$43,基本給DB!G$2,FALSE)),0,VLOOKUP($B17,基本給DB!$B$4:$K$43,基本給DB!G$2,FALSE))</f>
        <v>0</v>
      </c>
      <c r="N17" s="19"/>
      <c r="O17" s="19"/>
      <c r="P17" s="60">
        <f>IF(ISNA(VLOOKUP($B17,基本給DB!$B$4:$K$43,基本給DB!J$2,FALSE)),0,VLOOKUP($B17,基本給DB!$B$4:$K$43,基本給DB!J$2,FALSE))</f>
        <v>0</v>
      </c>
      <c r="Q17" s="84">
        <f t="shared" si="1"/>
        <v>0</v>
      </c>
      <c r="R17" s="84">
        <f t="shared" si="2"/>
        <v>0</v>
      </c>
      <c r="S17" s="69">
        <f t="shared" si="3"/>
        <v>0</v>
      </c>
      <c r="T17" s="63">
        <f>IF(ISNA(VLOOKUP($B17,基本給DB!$B$4:$K$43,基本給DB!H$2,FALSE)),0,VLOOKUP($B17,基本給DB!$B$4:$K$43,基本給DB!H$2,FALSE))</f>
        <v>0</v>
      </c>
      <c r="U17" s="60">
        <f>IF(ISNA(VLOOKUP($B17,基本給DB!$B$4:$K$43,基本給DB!I$2,FALSE)),0,VLOOKUP($B17,基本給DB!$B$4:$K$43,基本給DB!I$2,FALSE))</f>
        <v>0</v>
      </c>
      <c r="V17" s="60">
        <f>Q17*マスタ!$E$10</f>
        <v>0</v>
      </c>
      <c r="W17" s="21">
        <f t="shared" si="4"/>
        <v>0</v>
      </c>
      <c r="X17" s="22">
        <f t="shared" si="5"/>
        <v>0</v>
      </c>
      <c r="Y17" s="63">
        <f>IF(ISNA(VLOOKUP($B17,基本給DB!$B$4:$S$43,基本給DB!Q$2,FALSE)),0,VLOOKUP($B17,基本給DB!$B$4:$S$43,基本給DB!Q$2,FALSE))</f>
        <v>0</v>
      </c>
      <c r="Z17" s="19"/>
      <c r="AA17" s="19"/>
      <c r="AB17" s="22">
        <f t="shared" si="6"/>
        <v>0</v>
      </c>
      <c r="AC17" s="125">
        <f t="shared" si="7"/>
        <v>0</v>
      </c>
    </row>
    <row r="18" spans="2:29">
      <c r="B18" s="28"/>
      <c r="C18" s="15"/>
      <c r="D18" s="16"/>
      <c r="E18" s="123" t="s">
        <v>162</v>
      </c>
      <c r="F18" s="97"/>
      <c r="G18" s="100"/>
      <c r="H18" s="84">
        <f t="shared" si="0"/>
        <v>22</v>
      </c>
      <c r="I18" s="69">
        <f>IF(ISNA(VLOOKUP($B18,基本給DB!$B$4:$K$43,基本給DB!E$2,FALSE)),0,VLOOKUP($B18,基本給DB!$B$4:$K$43,基本給DB!E$2,FALSE))</f>
        <v>0</v>
      </c>
      <c r="J18" s="18"/>
      <c r="K18" s="60">
        <f>IF(ISNA(VLOOKUP($B18,基本給DB!$B$4:$K$43,基本給DB!K$2,FALSE)),0,VLOOKUP($B18,基本給DB!$B$4:$K$43,基本給DB!K$2,FALSE))-J18</f>
        <v>0</v>
      </c>
      <c r="L18" s="20"/>
      <c r="M18" s="63">
        <f>IF(ISNA(VLOOKUP($B18,基本給DB!$B$4:$K$43,基本給DB!G$2,FALSE)),0,VLOOKUP($B18,基本給DB!$B$4:$K$43,基本給DB!G$2,FALSE))</f>
        <v>0</v>
      </c>
      <c r="N18" s="19"/>
      <c r="O18" s="19"/>
      <c r="P18" s="60">
        <f>IF(ISNA(VLOOKUP($B18,基本給DB!$B$4:$K$43,基本給DB!J$2,FALSE)),0,VLOOKUP($B18,基本給DB!$B$4:$K$43,基本給DB!J$2,FALSE))</f>
        <v>0</v>
      </c>
      <c r="Q18" s="21">
        <f t="shared" si="1"/>
        <v>0</v>
      </c>
      <c r="R18" s="21">
        <f t="shared" si="2"/>
        <v>0</v>
      </c>
      <c r="S18" s="22">
        <f t="shared" si="3"/>
        <v>0</v>
      </c>
      <c r="T18" s="63">
        <f>IF(ISNA(VLOOKUP($B18,基本給DB!$B$4:$K$43,基本給DB!H$2,FALSE)),0,VLOOKUP($B18,基本給DB!$B$4:$K$43,基本給DB!H$2,FALSE))</f>
        <v>0</v>
      </c>
      <c r="U18" s="60">
        <f>IF(ISNA(VLOOKUP($B18,基本給DB!$B$4:$K$43,基本給DB!I$2,FALSE)),0,VLOOKUP($B18,基本給DB!$B$4:$K$43,基本給DB!I$2,FALSE))</f>
        <v>0</v>
      </c>
      <c r="V18" s="60">
        <f>Q18*マスタ!$E$10</f>
        <v>0</v>
      </c>
      <c r="W18" s="21">
        <f t="shared" si="4"/>
        <v>0</v>
      </c>
      <c r="X18" s="22">
        <f t="shared" si="5"/>
        <v>0</v>
      </c>
      <c r="Y18" s="63">
        <f>IF(ISNA(VLOOKUP($B18,基本給DB!$B$4:$S$43,基本給DB!Q$2,FALSE)),0,VLOOKUP($B18,基本給DB!$B$4:$S$43,基本給DB!Q$2,FALSE))</f>
        <v>0</v>
      </c>
      <c r="Z18" s="19"/>
      <c r="AA18" s="19"/>
      <c r="AB18" s="22">
        <f t="shared" si="6"/>
        <v>0</v>
      </c>
      <c r="AC18" s="125">
        <f t="shared" si="7"/>
        <v>0</v>
      </c>
    </row>
    <row r="19" spans="2:29">
      <c r="B19" s="28"/>
      <c r="C19" s="15"/>
      <c r="D19" s="16"/>
      <c r="E19" s="123" t="s">
        <v>162</v>
      </c>
      <c r="F19" s="97"/>
      <c r="G19" s="100"/>
      <c r="H19" s="84">
        <f t="shared" si="0"/>
        <v>22</v>
      </c>
      <c r="I19" s="69">
        <f>IF(ISNA(VLOOKUP($B19,基本給DB!$B$4:$K$43,基本給DB!E$2,FALSE)),0,VLOOKUP($B19,基本給DB!$B$4:$K$43,基本給DB!E$2,FALSE))</f>
        <v>0</v>
      </c>
      <c r="J19" s="18"/>
      <c r="K19" s="60">
        <f>IF(ISNA(VLOOKUP($B19,基本給DB!$B$4:$K$43,基本給DB!K$2,FALSE)),0,VLOOKUP($B19,基本給DB!$B$4:$K$43,基本給DB!K$2,FALSE))-J19</f>
        <v>0</v>
      </c>
      <c r="L19" s="20"/>
      <c r="M19" s="63">
        <f>IF(ISNA(VLOOKUP($B19,基本給DB!$B$4:$K$43,基本給DB!G$2,FALSE)),0,VLOOKUP($B19,基本給DB!$B$4:$K$43,基本給DB!G$2,FALSE))</f>
        <v>0</v>
      </c>
      <c r="N19" s="19"/>
      <c r="O19" s="19"/>
      <c r="P19" s="124">
        <f>IF(ISNA(VLOOKUP($B19,基本給DB!$B$4:$K$43,基本給DB!J$2,FALSE)),0,VLOOKUP($B19,基本給DB!$B$4:$K$43,基本給DB!J$2,FALSE))</f>
        <v>0</v>
      </c>
      <c r="Q19" s="21">
        <f t="shared" si="1"/>
        <v>0</v>
      </c>
      <c r="R19" s="21">
        <f t="shared" si="2"/>
        <v>0</v>
      </c>
      <c r="S19" s="22">
        <f t="shared" si="3"/>
        <v>0</v>
      </c>
      <c r="T19" s="63">
        <f>IF(ISNA(VLOOKUP($B19,基本給DB!$B$4:$K$43,基本給DB!H$2,FALSE)),0,VLOOKUP($B19,基本給DB!$B$4:$K$43,基本給DB!H$2,FALSE))</f>
        <v>0</v>
      </c>
      <c r="U19" s="60">
        <f>IF(ISNA(VLOOKUP($B19,基本給DB!$B$4:$K$43,基本給DB!I$2,FALSE)),0,VLOOKUP($B19,基本給DB!$B$4:$K$43,基本給DB!I$2,FALSE))</f>
        <v>0</v>
      </c>
      <c r="V19" s="60">
        <f>Q19*マスタ!$E$10</f>
        <v>0</v>
      </c>
      <c r="W19" s="21">
        <f t="shared" si="4"/>
        <v>0</v>
      </c>
      <c r="X19" s="22">
        <f t="shared" si="5"/>
        <v>0</v>
      </c>
      <c r="Y19" s="63">
        <f>IF(ISNA(VLOOKUP($B19,基本給DB!$B$4:$S$43,基本給DB!Q$2,FALSE)),0,VLOOKUP($B19,基本給DB!$B$4:$S$43,基本給DB!Q$2,FALSE))</f>
        <v>0</v>
      </c>
      <c r="Z19" s="19"/>
      <c r="AA19" s="19"/>
      <c r="AB19" s="22">
        <f t="shared" si="6"/>
        <v>0</v>
      </c>
      <c r="AC19" s="125">
        <f t="shared" si="7"/>
        <v>0</v>
      </c>
    </row>
    <row r="20" spans="2:29">
      <c r="B20" s="28"/>
      <c r="C20" s="15"/>
      <c r="D20" s="16"/>
      <c r="E20" s="123" t="s">
        <v>162</v>
      </c>
      <c r="F20" s="97"/>
      <c r="G20" s="100"/>
      <c r="H20" s="84">
        <f t="shared" si="0"/>
        <v>22</v>
      </c>
      <c r="I20" s="69">
        <f>IF(ISNA(VLOOKUP($B20,基本給DB!$B$4:$K$43,基本給DB!E$2,FALSE)),0,VLOOKUP($B20,基本給DB!$B$4:$K$43,基本給DB!E$2,FALSE))</f>
        <v>0</v>
      </c>
      <c r="J20" s="18"/>
      <c r="K20" s="60">
        <f>IF(ISNA(VLOOKUP($B20,基本給DB!$B$4:$K$43,基本給DB!K$2,FALSE)),0,VLOOKUP($B20,基本給DB!$B$4:$K$43,基本給DB!K$2,FALSE))-J20</f>
        <v>0</v>
      </c>
      <c r="L20" s="20"/>
      <c r="M20" s="63">
        <f>IF(ISNA(VLOOKUP($B20,基本給DB!$B$4:$K$43,基本給DB!G$2,FALSE)),0,VLOOKUP($B20,基本給DB!$B$4:$K$43,基本給DB!G$2,FALSE))</f>
        <v>0</v>
      </c>
      <c r="N20" s="19"/>
      <c r="O20" s="19"/>
      <c r="P20" s="60">
        <f>IF(ISNA(VLOOKUP($B20,基本給DB!$B$4:$K$43,基本給DB!J$2,FALSE)),0,VLOOKUP($B20,基本給DB!$B$4:$K$43,基本給DB!J$2,FALSE))</f>
        <v>0</v>
      </c>
      <c r="Q20" s="21">
        <f t="shared" si="1"/>
        <v>0</v>
      </c>
      <c r="R20" s="21">
        <f t="shared" si="2"/>
        <v>0</v>
      </c>
      <c r="S20" s="22">
        <f t="shared" si="3"/>
        <v>0</v>
      </c>
      <c r="T20" s="63">
        <f>IF(ISNA(VLOOKUP($B20,基本給DB!$B$4:$K$43,基本給DB!H$2,FALSE)),0,VLOOKUP($B20,基本給DB!$B$4:$K$43,基本給DB!H$2,FALSE))</f>
        <v>0</v>
      </c>
      <c r="U20" s="60">
        <f>IF(ISNA(VLOOKUP($B20,基本給DB!$B$4:$K$43,基本給DB!I$2,FALSE)),0,VLOOKUP($B20,基本給DB!$B$4:$K$43,基本給DB!I$2,FALSE))</f>
        <v>0</v>
      </c>
      <c r="V20" s="60">
        <f>Q20*マスタ!$E$10</f>
        <v>0</v>
      </c>
      <c r="W20" s="21">
        <f t="shared" si="4"/>
        <v>0</v>
      </c>
      <c r="X20" s="22">
        <f t="shared" si="5"/>
        <v>0</v>
      </c>
      <c r="Y20" s="63">
        <f>IF(ISNA(VLOOKUP($B20,基本給DB!$B$4:$S$43,基本給DB!Q$2,FALSE)),0,VLOOKUP($B20,基本給DB!$B$4:$S$43,基本給DB!Q$2,FALSE))</f>
        <v>0</v>
      </c>
      <c r="Z20" s="19"/>
      <c r="AA20" s="19"/>
      <c r="AB20" s="22">
        <f t="shared" si="6"/>
        <v>0</v>
      </c>
      <c r="AC20" s="125">
        <f t="shared" si="7"/>
        <v>0</v>
      </c>
    </row>
    <row r="21" spans="2:29">
      <c r="B21" s="28"/>
      <c r="C21" s="15"/>
      <c r="D21" s="16"/>
      <c r="E21" s="123" t="s">
        <v>162</v>
      </c>
      <c r="F21" s="97"/>
      <c r="G21" s="100"/>
      <c r="H21" s="84">
        <f t="shared" si="0"/>
        <v>22</v>
      </c>
      <c r="I21" s="69">
        <f>IF(ISNA(VLOOKUP($B21,基本給DB!$B$4:$K$43,基本給DB!E$2,FALSE)),0,VLOOKUP($B21,基本給DB!$B$4:$K$43,基本給DB!E$2,FALSE))</f>
        <v>0</v>
      </c>
      <c r="J21" s="18"/>
      <c r="K21" s="60">
        <f>IF(ISNA(VLOOKUP($B21,基本給DB!$B$4:$K$43,基本給DB!K$2,FALSE)),0,VLOOKUP($B21,基本給DB!$B$4:$K$43,基本給DB!K$2,FALSE))-J21</f>
        <v>0</v>
      </c>
      <c r="L21" s="20"/>
      <c r="M21" s="63">
        <f>IF(ISNA(VLOOKUP($B21,基本給DB!$B$4:$K$43,基本給DB!G$2,FALSE)),0,VLOOKUP($B21,基本給DB!$B$4:$K$43,基本給DB!G$2,FALSE))</f>
        <v>0</v>
      </c>
      <c r="N21" s="19"/>
      <c r="O21" s="19"/>
      <c r="P21" s="60">
        <f>IF(ISNA(VLOOKUP($B21,基本給DB!$B$4:$K$43,基本給DB!J$2,FALSE)),0,VLOOKUP($B21,基本給DB!$B$4:$K$43,基本給DB!J$2,FALSE))</f>
        <v>0</v>
      </c>
      <c r="Q21" s="21">
        <f t="shared" si="1"/>
        <v>0</v>
      </c>
      <c r="R21" s="21">
        <f t="shared" si="2"/>
        <v>0</v>
      </c>
      <c r="S21" s="22">
        <f t="shared" si="3"/>
        <v>0</v>
      </c>
      <c r="T21" s="63">
        <f>IF(ISNA(VLOOKUP($B21,基本給DB!$B$4:$K$43,基本給DB!H$2,FALSE)),0,VLOOKUP($B21,基本給DB!$B$4:$K$43,基本給DB!H$2,FALSE))</f>
        <v>0</v>
      </c>
      <c r="U21" s="60">
        <f>IF(ISNA(VLOOKUP($B21,基本給DB!$B$4:$K$43,基本給DB!I$2,FALSE)),0,VLOOKUP($B21,基本給DB!$B$4:$K$43,基本給DB!I$2,FALSE))</f>
        <v>0</v>
      </c>
      <c r="V21" s="60">
        <f>Q21*マスタ!$E$10</f>
        <v>0</v>
      </c>
      <c r="W21" s="21">
        <f t="shared" si="4"/>
        <v>0</v>
      </c>
      <c r="X21" s="22">
        <f t="shared" si="5"/>
        <v>0</v>
      </c>
      <c r="Y21" s="63">
        <f>IF(ISNA(VLOOKUP($B21,基本給DB!$B$4:$S$43,基本給DB!Q$2,FALSE)),0,VLOOKUP($B21,基本給DB!$B$4:$S$43,基本給DB!Q$2,FALSE))</f>
        <v>0</v>
      </c>
      <c r="Z21" s="19"/>
      <c r="AA21" s="19"/>
      <c r="AB21" s="22">
        <f t="shared" si="6"/>
        <v>0</v>
      </c>
      <c r="AC21" s="125">
        <f t="shared" si="7"/>
        <v>0</v>
      </c>
    </row>
    <row r="22" spans="2:29">
      <c r="B22" s="28"/>
      <c r="C22" s="15"/>
      <c r="D22" s="16"/>
      <c r="E22" s="123" t="s">
        <v>162</v>
      </c>
      <c r="F22" s="97"/>
      <c r="G22" s="100"/>
      <c r="H22" s="84">
        <f t="shared" si="0"/>
        <v>22</v>
      </c>
      <c r="I22" s="69">
        <f>IF(ISNA(VLOOKUP($B22,基本給DB!$B$4:$K$43,基本給DB!E$2,FALSE)),0,VLOOKUP($B22,基本給DB!$B$4:$K$43,基本給DB!E$2,FALSE))</f>
        <v>0</v>
      </c>
      <c r="J22" s="18"/>
      <c r="K22" s="60">
        <f>IF(ISNA(VLOOKUP($B22,基本給DB!$B$4:$K$43,基本給DB!K$2,FALSE)),0,VLOOKUP($B22,基本給DB!$B$4:$K$43,基本給DB!K$2,FALSE))-J22</f>
        <v>0</v>
      </c>
      <c r="L22" s="20"/>
      <c r="M22" s="63">
        <f>IF(ISNA(VLOOKUP($B22,基本給DB!$B$4:$K$43,基本給DB!G$2,FALSE)),0,VLOOKUP($B22,基本給DB!$B$4:$K$43,基本給DB!G$2,FALSE))</f>
        <v>0</v>
      </c>
      <c r="N22" s="19"/>
      <c r="O22" s="19"/>
      <c r="P22" s="60">
        <f>IF(ISNA(VLOOKUP($B22,基本給DB!$B$4:$K$43,基本給DB!J$2,FALSE)),0,VLOOKUP($B22,基本給DB!$B$4:$K$43,基本給DB!J$2,FALSE))</f>
        <v>0</v>
      </c>
      <c r="Q22" s="21">
        <f t="shared" si="1"/>
        <v>0</v>
      </c>
      <c r="R22" s="21">
        <f t="shared" si="2"/>
        <v>0</v>
      </c>
      <c r="S22" s="22">
        <f t="shared" si="3"/>
        <v>0</v>
      </c>
      <c r="T22" s="63">
        <f>IF(ISNA(VLOOKUP($B22,基本給DB!$B$4:$K$43,基本給DB!H$2,FALSE)),0,VLOOKUP($B22,基本給DB!$B$4:$K$43,基本給DB!H$2,FALSE))</f>
        <v>0</v>
      </c>
      <c r="U22" s="60">
        <f>IF(ISNA(VLOOKUP($B22,基本給DB!$B$4:$K$43,基本給DB!I$2,FALSE)),0,VLOOKUP($B22,基本給DB!$B$4:$K$43,基本給DB!I$2,FALSE))</f>
        <v>0</v>
      </c>
      <c r="V22" s="60">
        <f>Q22*マスタ!$E$10</f>
        <v>0</v>
      </c>
      <c r="W22" s="21">
        <f t="shared" si="4"/>
        <v>0</v>
      </c>
      <c r="X22" s="22">
        <f t="shared" si="5"/>
        <v>0</v>
      </c>
      <c r="Y22" s="63">
        <f>IF(ISNA(VLOOKUP($B22,基本給DB!$B$4:$S$43,基本給DB!Q$2,FALSE)),0,VLOOKUP($B22,基本給DB!$B$4:$S$43,基本給DB!Q$2,FALSE))</f>
        <v>0</v>
      </c>
      <c r="Z22" s="19"/>
      <c r="AA22" s="19"/>
      <c r="AB22" s="22">
        <f t="shared" si="6"/>
        <v>0</v>
      </c>
      <c r="AC22" s="125">
        <f t="shared" si="7"/>
        <v>0</v>
      </c>
    </row>
    <row r="23" spans="2:29">
      <c r="B23" s="28"/>
      <c r="C23" s="15"/>
      <c r="D23" s="16"/>
      <c r="E23" s="123" t="s">
        <v>162</v>
      </c>
      <c r="F23" s="97"/>
      <c r="G23" s="100"/>
      <c r="H23" s="84">
        <f t="shared" si="0"/>
        <v>22</v>
      </c>
      <c r="I23" s="69">
        <f>IF(ISNA(VLOOKUP($B23,基本給DB!$B$4:$K$43,基本給DB!E$2,FALSE)),0,VLOOKUP($B23,基本給DB!$B$4:$K$43,基本給DB!E$2,FALSE))</f>
        <v>0</v>
      </c>
      <c r="J23" s="18"/>
      <c r="K23" s="60">
        <f>IF(ISNA(VLOOKUP($B23,基本給DB!$B$4:$K$43,基本給DB!K$2,FALSE)),0,VLOOKUP($B23,基本給DB!$B$4:$K$43,基本給DB!K$2,FALSE))-J23</f>
        <v>0</v>
      </c>
      <c r="L23" s="20"/>
      <c r="M23" s="63">
        <f>IF(ISNA(VLOOKUP($B23,基本給DB!$B$4:$K$43,基本給DB!G$2,FALSE)),0,VLOOKUP($B23,基本給DB!$B$4:$K$43,基本給DB!G$2,FALSE))</f>
        <v>0</v>
      </c>
      <c r="N23" s="19"/>
      <c r="O23" s="19"/>
      <c r="P23" s="60">
        <f>IF(ISNA(VLOOKUP($B23,基本給DB!$B$4:$K$43,基本給DB!J$2,FALSE)),0,VLOOKUP($B23,基本給DB!$B$4:$K$43,基本給DB!J$2,FALSE))</f>
        <v>0</v>
      </c>
      <c r="Q23" s="21">
        <f t="shared" si="1"/>
        <v>0</v>
      </c>
      <c r="R23" s="21">
        <f t="shared" si="2"/>
        <v>0</v>
      </c>
      <c r="S23" s="22">
        <f t="shared" si="3"/>
        <v>0</v>
      </c>
      <c r="T23" s="63">
        <f>IF(ISNA(VLOOKUP($B23,基本給DB!$B$4:$K$43,基本給DB!H$2,FALSE)),0,VLOOKUP($B23,基本給DB!$B$4:$K$43,基本給DB!H$2,FALSE))</f>
        <v>0</v>
      </c>
      <c r="U23" s="60">
        <f>IF(ISNA(VLOOKUP($B23,基本給DB!$B$4:$K$43,基本給DB!I$2,FALSE)),0,VLOOKUP($B23,基本給DB!$B$4:$K$43,基本給DB!I$2,FALSE))</f>
        <v>0</v>
      </c>
      <c r="V23" s="60">
        <f>Q23*マスタ!$E$10</f>
        <v>0</v>
      </c>
      <c r="W23" s="21">
        <f t="shared" si="4"/>
        <v>0</v>
      </c>
      <c r="X23" s="22">
        <f t="shared" si="5"/>
        <v>0</v>
      </c>
      <c r="Y23" s="63">
        <f>IF(ISNA(VLOOKUP($B23,基本給DB!$B$4:$S$43,基本給DB!Q$2,FALSE)),0,VLOOKUP($B23,基本給DB!$B$4:$S$43,基本給DB!Q$2,FALSE))</f>
        <v>0</v>
      </c>
      <c r="Z23" s="19"/>
      <c r="AA23" s="19"/>
      <c r="AB23" s="22">
        <f t="shared" si="6"/>
        <v>0</v>
      </c>
      <c r="AC23" s="125">
        <f t="shared" si="7"/>
        <v>0</v>
      </c>
    </row>
    <row r="24" spans="2:29">
      <c r="B24" s="28"/>
      <c r="C24" s="15"/>
      <c r="D24" s="16"/>
      <c r="E24" s="123" t="s">
        <v>162</v>
      </c>
      <c r="F24" s="97"/>
      <c r="G24" s="100"/>
      <c r="H24" s="84">
        <f t="shared" si="0"/>
        <v>22</v>
      </c>
      <c r="I24" s="69">
        <f>IF(ISNA(VLOOKUP($B24,基本給DB!$B$4:$K$43,基本給DB!E$2,FALSE)),0,VLOOKUP($B24,基本給DB!$B$4:$K$43,基本給DB!E$2,FALSE))</f>
        <v>0</v>
      </c>
      <c r="J24" s="18"/>
      <c r="K24" s="60">
        <f>IF(ISNA(VLOOKUP($B24,基本給DB!$B$4:$K$43,基本給DB!K$2,FALSE)),0,VLOOKUP($B24,基本給DB!$B$4:$K$43,基本給DB!K$2,FALSE))-J24</f>
        <v>0</v>
      </c>
      <c r="L24" s="20"/>
      <c r="M24" s="63">
        <f>IF(ISNA(VLOOKUP($B24,基本給DB!$B$4:$K$43,基本給DB!G$2,FALSE)),0,VLOOKUP($B24,基本給DB!$B$4:$K$43,基本給DB!G$2,FALSE))</f>
        <v>0</v>
      </c>
      <c r="N24" s="19"/>
      <c r="O24" s="19"/>
      <c r="P24" s="60">
        <f>IF(ISNA(VLOOKUP($B24,基本給DB!$B$4:$K$43,基本給DB!J$2,FALSE)),0,VLOOKUP($B24,基本給DB!$B$4:$K$43,基本給DB!J$2,FALSE))</f>
        <v>0</v>
      </c>
      <c r="Q24" s="21">
        <f t="shared" si="1"/>
        <v>0</v>
      </c>
      <c r="R24" s="21">
        <f t="shared" si="2"/>
        <v>0</v>
      </c>
      <c r="S24" s="22">
        <f t="shared" si="3"/>
        <v>0</v>
      </c>
      <c r="T24" s="63">
        <f>IF(ISNA(VLOOKUP($B24,基本給DB!$B$4:$K$43,基本給DB!H$2,FALSE)),0,VLOOKUP($B24,基本給DB!$B$4:$K$43,基本給DB!H$2,FALSE))</f>
        <v>0</v>
      </c>
      <c r="U24" s="60">
        <f>IF(ISNA(VLOOKUP($B24,基本給DB!$B$4:$K$43,基本給DB!I$2,FALSE)),0,VLOOKUP($B24,基本給DB!$B$4:$K$43,基本給DB!I$2,FALSE))</f>
        <v>0</v>
      </c>
      <c r="V24" s="60">
        <f>Q24*マスタ!$E$10</f>
        <v>0</v>
      </c>
      <c r="W24" s="21">
        <f t="shared" si="4"/>
        <v>0</v>
      </c>
      <c r="X24" s="22">
        <f t="shared" si="5"/>
        <v>0</v>
      </c>
      <c r="Y24" s="63">
        <f>IF(ISNA(VLOOKUP($B24,基本給DB!$B$4:$S$43,基本給DB!Q$2,FALSE)),0,VLOOKUP($B24,基本給DB!$B$4:$S$43,基本給DB!Q$2,FALSE))</f>
        <v>0</v>
      </c>
      <c r="Z24" s="19"/>
      <c r="AA24" s="19"/>
      <c r="AB24" s="22">
        <f t="shared" si="6"/>
        <v>0</v>
      </c>
      <c r="AC24" s="125">
        <f t="shared" si="7"/>
        <v>0</v>
      </c>
    </row>
    <row r="25" spans="2:29">
      <c r="B25" s="28"/>
      <c r="C25" s="15"/>
      <c r="D25" s="16"/>
      <c r="E25" s="123" t="s">
        <v>162</v>
      </c>
      <c r="F25" s="97"/>
      <c r="G25" s="100"/>
      <c r="H25" s="84">
        <f t="shared" si="0"/>
        <v>22</v>
      </c>
      <c r="I25" s="69">
        <f>IF(ISNA(VLOOKUP($B25,基本給DB!$B$4:$K$43,基本給DB!E$2,FALSE)),0,VLOOKUP($B25,基本給DB!$B$4:$K$43,基本給DB!E$2,FALSE))</f>
        <v>0</v>
      </c>
      <c r="J25" s="18"/>
      <c r="K25" s="60">
        <f>IF(ISNA(VLOOKUP($B25,基本給DB!$B$4:$K$43,基本給DB!K$2,FALSE)),0,VLOOKUP($B25,基本給DB!$B$4:$K$43,基本給DB!K$2,FALSE))-J25</f>
        <v>0</v>
      </c>
      <c r="L25" s="20"/>
      <c r="M25" s="63">
        <f>IF(ISNA(VLOOKUP($B25,基本給DB!$B$4:$K$43,基本給DB!G$2,FALSE)),0,VLOOKUP($B25,基本給DB!$B$4:$K$43,基本給DB!G$2,FALSE))</f>
        <v>0</v>
      </c>
      <c r="N25" s="19"/>
      <c r="O25" s="19"/>
      <c r="P25" s="60">
        <f>IF(ISNA(VLOOKUP($B25,基本給DB!$B$4:$K$43,基本給DB!J$2,FALSE)),0,VLOOKUP($B25,基本給DB!$B$4:$K$43,基本給DB!J$2,FALSE))</f>
        <v>0</v>
      </c>
      <c r="Q25" s="21">
        <f t="shared" si="1"/>
        <v>0</v>
      </c>
      <c r="R25" s="21">
        <f t="shared" si="2"/>
        <v>0</v>
      </c>
      <c r="S25" s="22">
        <f t="shared" si="3"/>
        <v>0</v>
      </c>
      <c r="T25" s="63">
        <f>IF(ISNA(VLOOKUP($B25,基本給DB!$B$4:$K$43,基本給DB!H$2,FALSE)),0,VLOOKUP($B25,基本給DB!$B$4:$K$43,基本給DB!H$2,FALSE))</f>
        <v>0</v>
      </c>
      <c r="U25" s="60">
        <f>IF(ISNA(VLOOKUP($B25,基本給DB!$B$4:$K$43,基本給DB!I$2,FALSE)),0,VLOOKUP($B25,基本給DB!$B$4:$K$43,基本給DB!I$2,FALSE))</f>
        <v>0</v>
      </c>
      <c r="V25" s="60">
        <f>Q25*マスタ!$E$10</f>
        <v>0</v>
      </c>
      <c r="W25" s="21">
        <f t="shared" si="4"/>
        <v>0</v>
      </c>
      <c r="X25" s="22">
        <f t="shared" si="5"/>
        <v>0</v>
      </c>
      <c r="Y25" s="63">
        <f>IF(ISNA(VLOOKUP($B25,基本給DB!$B$4:$S$43,基本給DB!Q$2,FALSE)),0,VLOOKUP($B25,基本給DB!$B$4:$S$43,基本給DB!Q$2,FALSE))</f>
        <v>0</v>
      </c>
      <c r="Z25" s="19"/>
      <c r="AA25" s="19"/>
      <c r="AB25" s="22">
        <f t="shared" si="6"/>
        <v>0</v>
      </c>
      <c r="AC25" s="125">
        <f t="shared" si="7"/>
        <v>0</v>
      </c>
    </row>
    <row r="26" spans="2:29">
      <c r="B26" s="28"/>
      <c r="C26" s="15"/>
      <c r="D26" s="16"/>
      <c r="E26" s="123" t="s">
        <v>162</v>
      </c>
      <c r="F26" s="97"/>
      <c r="G26" s="100"/>
      <c r="H26" s="84">
        <f t="shared" si="0"/>
        <v>22</v>
      </c>
      <c r="I26" s="69">
        <f>IF(ISNA(VLOOKUP($B26,基本給DB!$B$4:$K$43,基本給DB!E$2,FALSE)),0,VLOOKUP($B26,基本給DB!$B$4:$K$43,基本給DB!E$2,FALSE))</f>
        <v>0</v>
      </c>
      <c r="J26" s="18"/>
      <c r="K26" s="60">
        <f>IF(ISNA(VLOOKUP($B26,基本給DB!$B$4:$K$43,基本給DB!K$2,FALSE)),0,VLOOKUP($B26,基本給DB!$B$4:$K$43,基本給DB!K$2,FALSE))-J26</f>
        <v>0</v>
      </c>
      <c r="L26" s="20"/>
      <c r="M26" s="63">
        <f>IF(ISNA(VLOOKUP($B26,基本給DB!$B$4:$K$43,基本給DB!G$2,FALSE)),0,VLOOKUP($B26,基本給DB!$B$4:$K$43,基本給DB!G$2,FALSE))</f>
        <v>0</v>
      </c>
      <c r="N26" s="19"/>
      <c r="O26" s="19"/>
      <c r="P26" s="60">
        <f>IF(ISNA(VLOOKUP($B26,基本給DB!$B$4:$K$43,基本給DB!J$2,FALSE)),0,VLOOKUP($B26,基本給DB!$B$4:$K$43,基本給DB!J$2,FALSE))</f>
        <v>0</v>
      </c>
      <c r="Q26" s="21">
        <f t="shared" si="1"/>
        <v>0</v>
      </c>
      <c r="R26" s="21">
        <f t="shared" si="2"/>
        <v>0</v>
      </c>
      <c r="S26" s="22">
        <f t="shared" si="3"/>
        <v>0</v>
      </c>
      <c r="T26" s="63">
        <f>IF(ISNA(VLOOKUP($B26,基本給DB!$B$4:$K$43,基本給DB!H$2,FALSE)),0,VLOOKUP($B26,基本給DB!$B$4:$K$43,基本給DB!H$2,FALSE))</f>
        <v>0</v>
      </c>
      <c r="U26" s="60">
        <f>IF(ISNA(VLOOKUP($B26,基本給DB!$B$4:$K$43,基本給DB!I$2,FALSE)),0,VLOOKUP($B26,基本給DB!$B$4:$K$43,基本給DB!I$2,FALSE))</f>
        <v>0</v>
      </c>
      <c r="V26" s="60">
        <f>Q26*マスタ!$E$10</f>
        <v>0</v>
      </c>
      <c r="W26" s="21">
        <f t="shared" si="4"/>
        <v>0</v>
      </c>
      <c r="X26" s="22">
        <f t="shared" si="5"/>
        <v>0</v>
      </c>
      <c r="Y26" s="63">
        <f>IF(ISNA(VLOOKUP($B26,基本給DB!$B$4:$S$43,基本給DB!Q$2,FALSE)),0,VLOOKUP($B26,基本給DB!$B$4:$S$43,基本給DB!Q$2,FALSE))</f>
        <v>0</v>
      </c>
      <c r="Z26" s="19"/>
      <c r="AA26" s="19"/>
      <c r="AB26" s="22">
        <f t="shared" si="6"/>
        <v>0</v>
      </c>
      <c r="AC26" s="125">
        <f t="shared" si="7"/>
        <v>0</v>
      </c>
    </row>
    <row r="27" spans="2:29">
      <c r="B27" s="28"/>
      <c r="C27" s="15"/>
      <c r="D27" s="16"/>
      <c r="E27" s="123" t="s">
        <v>162</v>
      </c>
      <c r="F27" s="97"/>
      <c r="G27" s="100"/>
      <c r="H27" s="84">
        <f t="shared" si="0"/>
        <v>22</v>
      </c>
      <c r="I27" s="69">
        <f>IF(ISNA(VLOOKUP($B27,基本給DB!$B$4:$K$43,基本給DB!E$2,FALSE)),0,VLOOKUP($B27,基本給DB!$B$4:$K$43,基本給DB!E$2,FALSE))</f>
        <v>0</v>
      </c>
      <c r="J27" s="18"/>
      <c r="K27" s="60">
        <f>IF(ISNA(VLOOKUP($B27,基本給DB!$B$4:$K$43,基本給DB!K$2,FALSE)),0,VLOOKUP($B27,基本給DB!$B$4:$K$43,基本給DB!K$2,FALSE))-J27</f>
        <v>0</v>
      </c>
      <c r="L27" s="20"/>
      <c r="M27" s="63">
        <f>IF(ISNA(VLOOKUP($B27,基本給DB!$B$4:$K$43,基本給DB!G$2,FALSE)),0,VLOOKUP($B27,基本給DB!$B$4:$K$43,基本給DB!G$2,FALSE))</f>
        <v>0</v>
      </c>
      <c r="N27" s="19"/>
      <c r="O27" s="19"/>
      <c r="P27" s="60">
        <f>IF(ISNA(VLOOKUP($B27,基本給DB!$B$4:$K$43,基本給DB!J$2,FALSE)),0,VLOOKUP($B27,基本給DB!$B$4:$K$43,基本給DB!J$2,FALSE))</f>
        <v>0</v>
      </c>
      <c r="Q27" s="21">
        <f t="shared" si="1"/>
        <v>0</v>
      </c>
      <c r="R27" s="21">
        <f t="shared" si="2"/>
        <v>0</v>
      </c>
      <c r="S27" s="22">
        <f t="shared" si="3"/>
        <v>0</v>
      </c>
      <c r="T27" s="63">
        <f>IF(ISNA(VLOOKUP($B27,基本給DB!$B$4:$K$43,基本給DB!H$2,FALSE)),0,VLOOKUP($B27,基本給DB!$B$4:$K$43,基本給DB!H$2,FALSE))</f>
        <v>0</v>
      </c>
      <c r="U27" s="60">
        <f>IF(ISNA(VLOOKUP($B27,基本給DB!$B$4:$K$43,基本給DB!I$2,FALSE)),0,VLOOKUP($B27,基本給DB!$B$4:$K$43,基本給DB!I$2,FALSE))</f>
        <v>0</v>
      </c>
      <c r="V27" s="60">
        <f>Q27*マスタ!$E$10</f>
        <v>0</v>
      </c>
      <c r="W27" s="21">
        <f t="shared" si="4"/>
        <v>0</v>
      </c>
      <c r="X27" s="22">
        <f t="shared" si="5"/>
        <v>0</v>
      </c>
      <c r="Y27" s="63">
        <f>IF(ISNA(VLOOKUP($B27,基本給DB!$B$4:$S$43,基本給DB!Q$2,FALSE)),0,VLOOKUP($B27,基本給DB!$B$4:$S$43,基本給DB!Q$2,FALSE))</f>
        <v>0</v>
      </c>
      <c r="Z27" s="19"/>
      <c r="AA27" s="19"/>
      <c r="AB27" s="22">
        <f t="shared" si="6"/>
        <v>0</v>
      </c>
      <c r="AC27" s="125">
        <f t="shared" si="7"/>
        <v>0</v>
      </c>
    </row>
    <row r="28" spans="2:29">
      <c r="B28" s="28"/>
      <c r="C28" s="15"/>
      <c r="D28" s="16"/>
      <c r="E28" s="123" t="s">
        <v>162</v>
      </c>
      <c r="F28" s="97"/>
      <c r="G28" s="100"/>
      <c r="H28" s="84">
        <f t="shared" si="0"/>
        <v>22</v>
      </c>
      <c r="I28" s="69">
        <f>IF(ISNA(VLOOKUP($B28,基本給DB!$B$4:$K$43,基本給DB!E$2,FALSE)),0,VLOOKUP($B28,基本給DB!$B$4:$K$43,基本給DB!E$2,FALSE))</f>
        <v>0</v>
      </c>
      <c r="J28" s="18"/>
      <c r="K28" s="60">
        <f>IF(ISNA(VLOOKUP($B28,基本給DB!$B$4:$K$43,基本給DB!K$2,FALSE)),0,VLOOKUP($B28,基本給DB!$B$4:$K$43,基本給DB!K$2,FALSE))-J28</f>
        <v>0</v>
      </c>
      <c r="L28" s="20"/>
      <c r="M28" s="63">
        <f>IF(ISNA(VLOOKUP($B28,基本給DB!$B$4:$K$43,基本給DB!G$2,FALSE)),0,VLOOKUP($B28,基本給DB!$B$4:$K$43,基本給DB!G$2,FALSE))</f>
        <v>0</v>
      </c>
      <c r="N28" s="19"/>
      <c r="O28" s="19"/>
      <c r="P28" s="60">
        <f>IF(ISNA(VLOOKUP($B28,基本給DB!$B$4:$K$43,基本給DB!J$2,FALSE)),0,VLOOKUP($B28,基本給DB!$B$4:$K$43,基本給DB!J$2,FALSE))</f>
        <v>0</v>
      </c>
      <c r="Q28" s="21">
        <f t="shared" si="1"/>
        <v>0</v>
      </c>
      <c r="R28" s="21">
        <f t="shared" si="2"/>
        <v>0</v>
      </c>
      <c r="S28" s="22">
        <f t="shared" si="3"/>
        <v>0</v>
      </c>
      <c r="T28" s="63">
        <f>IF(ISNA(VLOOKUP($B28,基本給DB!$B$4:$K$43,基本給DB!H$2,FALSE)),0,VLOOKUP($B28,基本給DB!$B$4:$K$43,基本給DB!H$2,FALSE))</f>
        <v>0</v>
      </c>
      <c r="U28" s="60">
        <f>IF(ISNA(VLOOKUP($B28,基本給DB!$B$4:$K$43,基本給DB!I$2,FALSE)),0,VLOOKUP($B28,基本給DB!$B$4:$K$43,基本給DB!I$2,FALSE))</f>
        <v>0</v>
      </c>
      <c r="V28" s="60">
        <f>Q28*マスタ!$E$10</f>
        <v>0</v>
      </c>
      <c r="W28" s="21">
        <f t="shared" si="4"/>
        <v>0</v>
      </c>
      <c r="X28" s="22">
        <f t="shared" si="5"/>
        <v>0</v>
      </c>
      <c r="Y28" s="63">
        <f>IF(ISNA(VLOOKUP($B28,基本給DB!$B$4:$S$43,基本給DB!Q$2,FALSE)),0,VLOOKUP($B28,基本給DB!$B$4:$S$43,基本給DB!Q$2,FALSE))</f>
        <v>0</v>
      </c>
      <c r="Z28" s="19"/>
      <c r="AA28" s="19"/>
      <c r="AB28" s="22">
        <f t="shared" si="6"/>
        <v>0</v>
      </c>
      <c r="AC28" s="125">
        <f t="shared" si="7"/>
        <v>0</v>
      </c>
    </row>
    <row r="29" spans="2:29">
      <c r="B29" s="28"/>
      <c r="C29" s="15"/>
      <c r="D29" s="16"/>
      <c r="E29" s="123" t="s">
        <v>162</v>
      </c>
      <c r="F29" s="97"/>
      <c r="G29" s="100"/>
      <c r="H29" s="84">
        <f t="shared" si="0"/>
        <v>22</v>
      </c>
      <c r="I29" s="69">
        <f>IF(ISNA(VLOOKUP($B29,基本給DB!$B$4:$K$43,基本給DB!E$2,FALSE)),0,VLOOKUP($B29,基本給DB!$B$4:$K$43,基本給DB!E$2,FALSE))</f>
        <v>0</v>
      </c>
      <c r="J29" s="18"/>
      <c r="K29" s="60">
        <f>IF(ISNA(VLOOKUP($B29,基本給DB!$B$4:$K$43,基本給DB!K$2,FALSE)),0,VLOOKUP($B29,基本給DB!$B$4:$K$43,基本給DB!K$2,FALSE))-J29</f>
        <v>0</v>
      </c>
      <c r="L29" s="20"/>
      <c r="M29" s="63">
        <f>IF(ISNA(VLOOKUP($B29,基本給DB!$B$4:$K$43,基本給DB!G$2,FALSE)),0,VLOOKUP($B29,基本給DB!$B$4:$K$43,基本給DB!G$2,FALSE))</f>
        <v>0</v>
      </c>
      <c r="N29" s="19"/>
      <c r="O29" s="19"/>
      <c r="P29" s="60">
        <f>IF(ISNA(VLOOKUP($B29,基本給DB!$B$4:$K$43,基本給DB!J$2,FALSE)),0,VLOOKUP($B29,基本給DB!$B$4:$K$43,基本給DB!J$2,FALSE))</f>
        <v>0</v>
      </c>
      <c r="Q29" s="21">
        <f t="shared" si="1"/>
        <v>0</v>
      </c>
      <c r="R29" s="21">
        <f t="shared" si="2"/>
        <v>0</v>
      </c>
      <c r="S29" s="22">
        <f t="shared" si="3"/>
        <v>0</v>
      </c>
      <c r="T29" s="63">
        <f>IF(ISNA(VLOOKUP($B29,基本給DB!$B$4:$K$43,基本給DB!H$2,FALSE)),0,VLOOKUP($B29,基本給DB!$B$4:$K$43,基本給DB!H$2,FALSE))</f>
        <v>0</v>
      </c>
      <c r="U29" s="60">
        <f>IF(ISNA(VLOOKUP($B29,基本給DB!$B$4:$K$43,基本給DB!I$2,FALSE)),0,VLOOKUP($B29,基本給DB!$B$4:$K$43,基本給DB!I$2,FALSE))</f>
        <v>0</v>
      </c>
      <c r="V29" s="60">
        <f>Q29*マスタ!$E$10</f>
        <v>0</v>
      </c>
      <c r="W29" s="21">
        <f t="shared" si="4"/>
        <v>0</v>
      </c>
      <c r="X29" s="22">
        <f t="shared" si="5"/>
        <v>0</v>
      </c>
      <c r="Y29" s="63">
        <f>IF(ISNA(VLOOKUP($B29,基本給DB!$B$4:$S$43,基本給DB!Q$2,FALSE)),0,VLOOKUP($B29,基本給DB!$B$4:$S$43,基本給DB!Q$2,FALSE))</f>
        <v>0</v>
      </c>
      <c r="Z29" s="19"/>
      <c r="AA29" s="19"/>
      <c r="AB29" s="22">
        <f t="shared" si="6"/>
        <v>0</v>
      </c>
      <c r="AC29" s="125">
        <f t="shared" si="7"/>
        <v>0</v>
      </c>
    </row>
    <row r="30" spans="2:29">
      <c r="B30" s="28"/>
      <c r="C30" s="15"/>
      <c r="D30" s="16"/>
      <c r="E30" s="123" t="s">
        <v>162</v>
      </c>
      <c r="F30" s="97"/>
      <c r="G30" s="100"/>
      <c r="H30" s="84">
        <f t="shared" si="0"/>
        <v>22</v>
      </c>
      <c r="I30" s="69">
        <f>IF(ISNA(VLOOKUP($B30,基本給DB!$B$4:$K$43,基本給DB!E$2,FALSE)),0,VLOOKUP($B30,基本給DB!$B$4:$K$43,基本給DB!E$2,FALSE))</f>
        <v>0</v>
      </c>
      <c r="J30" s="18"/>
      <c r="K30" s="60">
        <f>IF(ISNA(VLOOKUP($B30,基本給DB!$B$4:$K$43,基本給DB!K$2,FALSE)),0,VLOOKUP($B30,基本給DB!$B$4:$K$43,基本給DB!K$2,FALSE))-J30</f>
        <v>0</v>
      </c>
      <c r="L30" s="20"/>
      <c r="M30" s="63">
        <f>IF(ISNA(VLOOKUP($B30,基本給DB!$B$4:$K$43,基本給DB!G$2,FALSE)),0,VLOOKUP($B30,基本給DB!$B$4:$K$43,基本給DB!G$2,FALSE))</f>
        <v>0</v>
      </c>
      <c r="N30" s="19"/>
      <c r="O30" s="19"/>
      <c r="P30" s="60">
        <f>IF(ISNA(VLOOKUP($B30,基本給DB!$B$4:$K$43,基本給DB!J$2,FALSE)),0,VLOOKUP($B30,基本給DB!$B$4:$K$43,基本給DB!J$2,FALSE))</f>
        <v>0</v>
      </c>
      <c r="Q30" s="21">
        <f t="shared" si="1"/>
        <v>0</v>
      </c>
      <c r="R30" s="21">
        <f t="shared" si="2"/>
        <v>0</v>
      </c>
      <c r="S30" s="22">
        <f t="shared" si="3"/>
        <v>0</v>
      </c>
      <c r="T30" s="63">
        <f>IF(ISNA(VLOOKUP($B30,基本給DB!$B$4:$K$43,基本給DB!H$2,FALSE)),0,VLOOKUP($B30,基本給DB!$B$4:$K$43,基本給DB!H$2,FALSE))</f>
        <v>0</v>
      </c>
      <c r="U30" s="60">
        <f>IF(ISNA(VLOOKUP($B30,基本給DB!$B$4:$K$43,基本給DB!I$2,FALSE)),0,VLOOKUP($B30,基本給DB!$B$4:$K$43,基本給DB!I$2,FALSE))</f>
        <v>0</v>
      </c>
      <c r="V30" s="60">
        <f>Q30*マスタ!$E$10</f>
        <v>0</v>
      </c>
      <c r="W30" s="21">
        <f t="shared" si="4"/>
        <v>0</v>
      </c>
      <c r="X30" s="22">
        <f t="shared" si="5"/>
        <v>0</v>
      </c>
      <c r="Y30" s="63">
        <f>IF(ISNA(VLOOKUP($B30,基本給DB!$B$4:$S$43,基本給DB!Q$2,FALSE)),0,VLOOKUP($B30,基本給DB!$B$4:$S$43,基本給DB!Q$2,FALSE))</f>
        <v>0</v>
      </c>
      <c r="Z30" s="19"/>
      <c r="AA30" s="19"/>
      <c r="AB30" s="22">
        <f t="shared" si="6"/>
        <v>0</v>
      </c>
      <c r="AC30" s="125">
        <f t="shared" si="7"/>
        <v>0</v>
      </c>
    </row>
    <row r="31" spans="2:29">
      <c r="B31" s="28"/>
      <c r="C31" s="15"/>
      <c r="D31" s="16"/>
      <c r="E31" s="123" t="s">
        <v>162</v>
      </c>
      <c r="F31" s="97"/>
      <c r="G31" s="100"/>
      <c r="H31" s="84">
        <f t="shared" si="0"/>
        <v>22</v>
      </c>
      <c r="I31" s="69">
        <f>IF(ISNA(VLOOKUP($B31,基本給DB!$B$4:$K$43,基本給DB!E$2,FALSE)),0,VLOOKUP($B31,基本給DB!$B$4:$K$43,基本給DB!E$2,FALSE))</f>
        <v>0</v>
      </c>
      <c r="J31" s="18"/>
      <c r="K31" s="60">
        <f>IF(ISNA(VLOOKUP($B31,基本給DB!$B$4:$K$43,基本給DB!K$2,FALSE)),0,VLOOKUP($B31,基本給DB!$B$4:$K$43,基本給DB!K$2,FALSE))-J31</f>
        <v>0</v>
      </c>
      <c r="L31" s="20"/>
      <c r="M31" s="63">
        <f>IF(ISNA(VLOOKUP($B31,基本給DB!$B$4:$K$43,基本給DB!G$2,FALSE)),0,VLOOKUP($B31,基本給DB!$B$4:$K$43,基本給DB!G$2,FALSE))</f>
        <v>0</v>
      </c>
      <c r="N31" s="19"/>
      <c r="O31" s="19"/>
      <c r="P31" s="60">
        <f>IF(ISNA(VLOOKUP($B31,基本給DB!$B$4:$K$43,基本給DB!J$2,FALSE)),0,VLOOKUP($B31,基本給DB!$B$4:$K$43,基本給DB!J$2,FALSE))</f>
        <v>0</v>
      </c>
      <c r="Q31" s="21">
        <f t="shared" si="1"/>
        <v>0</v>
      </c>
      <c r="R31" s="21">
        <f t="shared" si="2"/>
        <v>0</v>
      </c>
      <c r="S31" s="22">
        <f t="shared" si="3"/>
        <v>0</v>
      </c>
      <c r="T31" s="63">
        <f>IF(ISNA(VLOOKUP($B31,基本給DB!$B$4:$K$43,基本給DB!H$2,FALSE)),0,VLOOKUP($B31,基本給DB!$B$4:$K$43,基本給DB!H$2,FALSE))</f>
        <v>0</v>
      </c>
      <c r="U31" s="60">
        <f>IF(ISNA(VLOOKUP($B31,基本給DB!$B$4:$K$43,基本給DB!I$2,FALSE)),0,VLOOKUP($B31,基本給DB!$B$4:$K$43,基本給DB!I$2,FALSE))</f>
        <v>0</v>
      </c>
      <c r="V31" s="60">
        <f>Q31*マスタ!$E$10</f>
        <v>0</v>
      </c>
      <c r="W31" s="21">
        <f t="shared" si="4"/>
        <v>0</v>
      </c>
      <c r="X31" s="22">
        <f t="shared" si="5"/>
        <v>0</v>
      </c>
      <c r="Y31" s="63">
        <f>IF(ISNA(VLOOKUP($B31,基本給DB!$B$4:$S$43,基本給DB!Q$2,FALSE)),0,VLOOKUP($B31,基本給DB!$B$4:$S$43,基本給DB!Q$2,FALSE))</f>
        <v>0</v>
      </c>
      <c r="Z31" s="19"/>
      <c r="AA31" s="19"/>
      <c r="AB31" s="22">
        <f t="shared" si="6"/>
        <v>0</v>
      </c>
      <c r="AC31" s="125">
        <f t="shared" si="7"/>
        <v>0</v>
      </c>
    </row>
    <row r="32" spans="2:29">
      <c r="B32" s="28"/>
      <c r="C32" s="15"/>
      <c r="D32" s="16"/>
      <c r="E32" s="123" t="s">
        <v>162</v>
      </c>
      <c r="F32" s="97"/>
      <c r="G32" s="100"/>
      <c r="H32" s="84">
        <f t="shared" si="0"/>
        <v>22</v>
      </c>
      <c r="I32" s="69">
        <f>IF(ISNA(VLOOKUP($B32,基本給DB!$B$4:$K$43,基本給DB!E$2,FALSE)),0,VLOOKUP($B32,基本給DB!$B$4:$K$43,基本給DB!E$2,FALSE))</f>
        <v>0</v>
      </c>
      <c r="J32" s="18"/>
      <c r="K32" s="60">
        <f>IF(ISNA(VLOOKUP($B32,基本給DB!$B$4:$K$43,基本給DB!K$2,FALSE)),0,VLOOKUP($B32,基本給DB!$B$4:$K$43,基本給DB!K$2,FALSE))-J32</f>
        <v>0</v>
      </c>
      <c r="L32" s="20"/>
      <c r="M32" s="63">
        <f>IF(ISNA(VLOOKUP($B32,基本給DB!$B$4:$K$43,基本給DB!G$2,FALSE)),0,VLOOKUP($B32,基本給DB!$B$4:$K$43,基本給DB!G$2,FALSE))</f>
        <v>0</v>
      </c>
      <c r="N32" s="19"/>
      <c r="O32" s="19"/>
      <c r="P32" s="60">
        <f>IF(ISNA(VLOOKUP($B32,基本給DB!$B$4:$K$43,基本給DB!J$2,FALSE)),0,VLOOKUP($B32,基本給DB!$B$4:$K$43,基本給DB!J$2,FALSE))</f>
        <v>0</v>
      </c>
      <c r="Q32" s="21">
        <f t="shared" si="1"/>
        <v>0</v>
      </c>
      <c r="R32" s="21">
        <f t="shared" si="2"/>
        <v>0</v>
      </c>
      <c r="S32" s="22">
        <f t="shared" si="3"/>
        <v>0</v>
      </c>
      <c r="T32" s="63">
        <f>IF(ISNA(VLOOKUP($B32,基本給DB!$B$4:$K$43,基本給DB!H$2,FALSE)),0,VLOOKUP($B32,基本給DB!$B$4:$K$43,基本給DB!H$2,FALSE))</f>
        <v>0</v>
      </c>
      <c r="U32" s="60">
        <f>IF(ISNA(VLOOKUP($B32,基本給DB!$B$4:$K$43,基本給DB!I$2,FALSE)),0,VLOOKUP($B32,基本給DB!$B$4:$K$43,基本給DB!I$2,FALSE))</f>
        <v>0</v>
      </c>
      <c r="V32" s="60">
        <f>Q32*マスタ!$E$10</f>
        <v>0</v>
      </c>
      <c r="W32" s="21">
        <f t="shared" si="4"/>
        <v>0</v>
      </c>
      <c r="X32" s="22">
        <f t="shared" si="5"/>
        <v>0</v>
      </c>
      <c r="Y32" s="63">
        <f>IF(ISNA(VLOOKUP($B32,基本給DB!$B$4:$S$43,基本給DB!Q$2,FALSE)),0,VLOOKUP($B32,基本給DB!$B$4:$S$43,基本給DB!Q$2,FALSE))</f>
        <v>0</v>
      </c>
      <c r="Z32" s="19"/>
      <c r="AA32" s="19"/>
      <c r="AB32" s="22">
        <f t="shared" si="6"/>
        <v>0</v>
      </c>
      <c r="AC32" s="125">
        <f t="shared" si="7"/>
        <v>0</v>
      </c>
    </row>
    <row r="33" spans="2:29">
      <c r="B33" s="28"/>
      <c r="C33" s="15"/>
      <c r="D33" s="16"/>
      <c r="E33" s="123" t="s">
        <v>162</v>
      </c>
      <c r="F33" s="97"/>
      <c r="G33" s="100"/>
      <c r="H33" s="84">
        <f t="shared" si="0"/>
        <v>22</v>
      </c>
      <c r="I33" s="69">
        <f>IF(ISNA(VLOOKUP($B33,基本給DB!$B$4:$K$43,基本給DB!E$2,FALSE)),0,VLOOKUP($B33,基本給DB!$B$4:$K$43,基本給DB!E$2,FALSE))</f>
        <v>0</v>
      </c>
      <c r="J33" s="18"/>
      <c r="K33" s="60">
        <f>IF(ISNA(VLOOKUP($B33,基本給DB!$B$4:$K$43,基本給DB!K$2,FALSE)),0,VLOOKUP($B33,基本給DB!$B$4:$K$43,基本給DB!K$2,FALSE))-J33</f>
        <v>0</v>
      </c>
      <c r="L33" s="20"/>
      <c r="M33" s="63">
        <f>IF(ISNA(VLOOKUP($B33,基本給DB!$B$4:$K$43,基本給DB!G$2,FALSE)),0,VLOOKUP($B33,基本給DB!$B$4:$K$43,基本給DB!G$2,FALSE))</f>
        <v>0</v>
      </c>
      <c r="N33" s="19"/>
      <c r="O33" s="19"/>
      <c r="P33" s="60">
        <f>IF(ISNA(VLOOKUP($B33,基本給DB!$B$4:$K$43,基本給DB!J$2,FALSE)),0,VLOOKUP($B33,基本給DB!$B$4:$K$43,基本給DB!J$2,FALSE))</f>
        <v>0</v>
      </c>
      <c r="Q33" s="21">
        <f t="shared" si="1"/>
        <v>0</v>
      </c>
      <c r="R33" s="21">
        <f t="shared" si="2"/>
        <v>0</v>
      </c>
      <c r="S33" s="22">
        <f t="shared" si="3"/>
        <v>0</v>
      </c>
      <c r="T33" s="63">
        <f>IF(ISNA(VLOOKUP($B33,基本給DB!$B$4:$K$43,基本給DB!H$2,FALSE)),0,VLOOKUP($B33,基本給DB!$B$4:$K$43,基本給DB!H$2,FALSE))</f>
        <v>0</v>
      </c>
      <c r="U33" s="60">
        <f>IF(ISNA(VLOOKUP($B33,基本給DB!$B$4:$K$43,基本給DB!I$2,FALSE)),0,VLOOKUP($B33,基本給DB!$B$4:$K$43,基本給DB!I$2,FALSE))</f>
        <v>0</v>
      </c>
      <c r="V33" s="60">
        <f>Q33*マスタ!$E$10</f>
        <v>0</v>
      </c>
      <c r="W33" s="21">
        <f t="shared" si="4"/>
        <v>0</v>
      </c>
      <c r="X33" s="22">
        <f t="shared" si="5"/>
        <v>0</v>
      </c>
      <c r="Y33" s="63">
        <f>IF(ISNA(VLOOKUP($B33,基本給DB!$B$4:$S$43,基本給DB!Q$2,FALSE)),0,VLOOKUP($B33,基本給DB!$B$4:$S$43,基本給DB!Q$2,FALSE))</f>
        <v>0</v>
      </c>
      <c r="Z33" s="19"/>
      <c r="AA33" s="19"/>
      <c r="AB33" s="22">
        <f t="shared" si="6"/>
        <v>0</v>
      </c>
      <c r="AC33" s="125">
        <f t="shared" si="7"/>
        <v>0</v>
      </c>
    </row>
    <row r="34" spans="2:29">
      <c r="B34" s="28"/>
      <c r="C34" s="15"/>
      <c r="D34" s="16"/>
      <c r="E34" s="123" t="s">
        <v>162</v>
      </c>
      <c r="F34" s="97"/>
      <c r="G34" s="100"/>
      <c r="H34" s="84">
        <f t="shared" si="0"/>
        <v>22</v>
      </c>
      <c r="I34" s="69">
        <f>IF(ISNA(VLOOKUP($B34,基本給DB!$B$4:$K$43,基本給DB!E$2,FALSE)),0,VLOOKUP($B34,基本給DB!$B$4:$K$43,基本給DB!E$2,FALSE))</f>
        <v>0</v>
      </c>
      <c r="J34" s="18"/>
      <c r="K34" s="60">
        <f>IF(ISNA(VLOOKUP($B34,基本給DB!$B$4:$K$43,基本給DB!K$2,FALSE)),0,VLOOKUP($B34,基本給DB!$B$4:$K$43,基本給DB!K$2,FALSE))-J34</f>
        <v>0</v>
      </c>
      <c r="L34" s="20"/>
      <c r="M34" s="63">
        <f>IF(ISNA(VLOOKUP($B34,基本給DB!$B$4:$K$43,基本給DB!G$2,FALSE)),0,VLOOKUP($B34,基本給DB!$B$4:$K$43,基本給DB!G$2,FALSE))</f>
        <v>0</v>
      </c>
      <c r="N34" s="19"/>
      <c r="O34" s="19"/>
      <c r="P34" s="60">
        <f>IF(ISNA(VLOOKUP($B34,基本給DB!$B$4:$K$43,基本給DB!J$2,FALSE)),0,VLOOKUP($B34,基本給DB!$B$4:$K$43,基本給DB!J$2,FALSE))</f>
        <v>0</v>
      </c>
      <c r="Q34" s="21">
        <f t="shared" si="1"/>
        <v>0</v>
      </c>
      <c r="R34" s="21">
        <f t="shared" si="2"/>
        <v>0</v>
      </c>
      <c r="S34" s="22">
        <f t="shared" si="3"/>
        <v>0</v>
      </c>
      <c r="T34" s="63">
        <f>IF(ISNA(VLOOKUP($B34,基本給DB!$B$4:$K$43,基本給DB!H$2,FALSE)),0,VLOOKUP($B34,基本給DB!$B$4:$K$43,基本給DB!H$2,FALSE))</f>
        <v>0</v>
      </c>
      <c r="U34" s="60">
        <f>IF(ISNA(VLOOKUP($B34,基本給DB!$B$4:$K$43,基本給DB!I$2,FALSE)),0,VLOOKUP($B34,基本給DB!$B$4:$K$43,基本給DB!I$2,FALSE))</f>
        <v>0</v>
      </c>
      <c r="V34" s="60">
        <f>Q34*マスタ!$E$10</f>
        <v>0</v>
      </c>
      <c r="W34" s="21">
        <f t="shared" si="4"/>
        <v>0</v>
      </c>
      <c r="X34" s="22">
        <f t="shared" si="5"/>
        <v>0</v>
      </c>
      <c r="Y34" s="63">
        <f>IF(ISNA(VLOOKUP($B34,基本給DB!$B$4:$S$43,基本給DB!Q$2,FALSE)),0,VLOOKUP($B34,基本給DB!$B$4:$S$43,基本給DB!Q$2,FALSE))</f>
        <v>0</v>
      </c>
      <c r="Z34" s="19"/>
      <c r="AA34" s="19"/>
      <c r="AB34" s="22">
        <f t="shared" si="6"/>
        <v>0</v>
      </c>
      <c r="AC34" s="125">
        <f t="shared" si="7"/>
        <v>0</v>
      </c>
    </row>
    <row r="35" spans="2:29">
      <c r="B35" s="28"/>
      <c r="C35" s="15"/>
      <c r="D35" s="16"/>
      <c r="E35" s="123" t="s">
        <v>162</v>
      </c>
      <c r="F35" s="97"/>
      <c r="G35" s="100"/>
      <c r="H35" s="84">
        <f t="shared" si="0"/>
        <v>22</v>
      </c>
      <c r="I35" s="69">
        <f>IF(ISNA(VLOOKUP($B35,基本給DB!$B$4:$K$43,基本給DB!E$2,FALSE)),0,VLOOKUP($B35,基本給DB!$B$4:$K$43,基本給DB!E$2,FALSE))</f>
        <v>0</v>
      </c>
      <c r="J35" s="18"/>
      <c r="K35" s="60">
        <f>IF(ISNA(VLOOKUP($B35,基本給DB!$B$4:$K$43,基本給DB!K$2,FALSE)),0,VLOOKUP($B35,基本給DB!$B$4:$K$43,基本給DB!K$2,FALSE))-J35</f>
        <v>0</v>
      </c>
      <c r="L35" s="20"/>
      <c r="M35" s="63">
        <f>IF(ISNA(VLOOKUP($B35,基本給DB!$B$4:$K$43,基本給DB!G$2,FALSE)),0,VLOOKUP($B35,基本給DB!$B$4:$K$43,基本給DB!G$2,FALSE))</f>
        <v>0</v>
      </c>
      <c r="N35" s="19"/>
      <c r="O35" s="19"/>
      <c r="P35" s="60">
        <f>IF(ISNA(VLOOKUP($B35,基本給DB!$B$4:$K$43,基本給DB!J$2,FALSE)),0,VLOOKUP($B35,基本給DB!$B$4:$K$43,基本給DB!J$2,FALSE))</f>
        <v>0</v>
      </c>
      <c r="Q35" s="21">
        <f t="shared" si="1"/>
        <v>0</v>
      </c>
      <c r="R35" s="21">
        <f t="shared" si="2"/>
        <v>0</v>
      </c>
      <c r="S35" s="22">
        <f t="shared" si="3"/>
        <v>0</v>
      </c>
      <c r="T35" s="63">
        <f>IF(ISNA(VLOOKUP($B35,基本給DB!$B$4:$K$43,基本給DB!H$2,FALSE)),0,VLOOKUP($B35,基本給DB!$B$4:$K$43,基本給DB!H$2,FALSE))</f>
        <v>0</v>
      </c>
      <c r="U35" s="60">
        <f>IF(ISNA(VLOOKUP($B35,基本給DB!$B$4:$K$43,基本給DB!I$2,FALSE)),0,VLOOKUP($B35,基本給DB!$B$4:$K$43,基本給DB!I$2,FALSE))</f>
        <v>0</v>
      </c>
      <c r="V35" s="60">
        <f>Q35*マスタ!$E$10</f>
        <v>0</v>
      </c>
      <c r="W35" s="21">
        <f t="shared" si="4"/>
        <v>0</v>
      </c>
      <c r="X35" s="22">
        <f t="shared" si="5"/>
        <v>0</v>
      </c>
      <c r="Y35" s="63">
        <f>IF(ISNA(VLOOKUP($B35,基本給DB!$B$4:$S$43,基本給DB!Q$2,FALSE)),0,VLOOKUP($B35,基本給DB!$B$4:$S$43,基本給DB!Q$2,FALSE))</f>
        <v>0</v>
      </c>
      <c r="Z35" s="19"/>
      <c r="AA35" s="19"/>
      <c r="AB35" s="22">
        <f t="shared" si="6"/>
        <v>0</v>
      </c>
      <c r="AC35" s="125">
        <f t="shared" si="7"/>
        <v>0</v>
      </c>
    </row>
    <row r="36" spans="2:29">
      <c r="B36" s="28"/>
      <c r="C36" s="15"/>
      <c r="D36" s="16"/>
      <c r="E36" s="123" t="s">
        <v>162</v>
      </c>
      <c r="F36" s="97"/>
      <c r="G36" s="100"/>
      <c r="H36" s="84">
        <f t="shared" si="0"/>
        <v>22</v>
      </c>
      <c r="I36" s="69">
        <f>IF(ISNA(VLOOKUP($B36,基本給DB!$B$4:$K$43,基本給DB!E$2,FALSE)),0,VLOOKUP($B36,基本給DB!$B$4:$K$43,基本給DB!E$2,FALSE))</f>
        <v>0</v>
      </c>
      <c r="J36" s="18"/>
      <c r="K36" s="60">
        <f>IF(ISNA(VLOOKUP($B36,基本給DB!$B$4:$K$43,基本給DB!K$2,FALSE)),0,VLOOKUP($B36,基本給DB!$B$4:$K$43,基本給DB!K$2,FALSE))-J36</f>
        <v>0</v>
      </c>
      <c r="L36" s="20"/>
      <c r="M36" s="63">
        <f>IF(ISNA(VLOOKUP($B36,基本給DB!$B$4:$K$43,基本給DB!G$2,FALSE)),0,VLOOKUP($B36,基本給DB!$B$4:$K$43,基本給DB!G$2,FALSE))</f>
        <v>0</v>
      </c>
      <c r="N36" s="19"/>
      <c r="O36" s="19"/>
      <c r="P36" s="60">
        <f>IF(ISNA(VLOOKUP($B36,基本給DB!$B$4:$K$43,基本給DB!J$2,FALSE)),0,VLOOKUP($B36,基本給DB!$B$4:$K$43,基本給DB!J$2,FALSE))</f>
        <v>0</v>
      </c>
      <c r="Q36" s="21">
        <f t="shared" si="1"/>
        <v>0</v>
      </c>
      <c r="R36" s="21">
        <f t="shared" si="2"/>
        <v>0</v>
      </c>
      <c r="S36" s="22">
        <f t="shared" si="3"/>
        <v>0</v>
      </c>
      <c r="T36" s="63">
        <f>IF(ISNA(VLOOKUP($B36,基本給DB!$B$4:$K$43,基本給DB!H$2,FALSE)),0,VLOOKUP($B36,基本給DB!$B$4:$K$43,基本給DB!H$2,FALSE))</f>
        <v>0</v>
      </c>
      <c r="U36" s="60">
        <f>IF(ISNA(VLOOKUP($B36,基本給DB!$B$4:$K$43,基本給DB!I$2,FALSE)),0,VLOOKUP($B36,基本給DB!$B$4:$K$43,基本給DB!I$2,FALSE))</f>
        <v>0</v>
      </c>
      <c r="V36" s="60">
        <f>Q36*マスタ!$E$10</f>
        <v>0</v>
      </c>
      <c r="W36" s="21">
        <f t="shared" si="4"/>
        <v>0</v>
      </c>
      <c r="X36" s="22">
        <f t="shared" si="5"/>
        <v>0</v>
      </c>
      <c r="Y36" s="63">
        <f>IF(ISNA(VLOOKUP($B36,基本給DB!$B$4:$S$43,基本給DB!Q$2,FALSE)),0,VLOOKUP($B36,基本給DB!$B$4:$S$43,基本給DB!Q$2,FALSE))</f>
        <v>0</v>
      </c>
      <c r="Z36" s="19"/>
      <c r="AA36" s="19"/>
      <c r="AB36" s="22">
        <f t="shared" si="6"/>
        <v>0</v>
      </c>
      <c r="AC36" s="125">
        <f t="shared" si="7"/>
        <v>0</v>
      </c>
    </row>
    <row r="37" spans="2:29">
      <c r="B37" s="28"/>
      <c r="C37" s="15"/>
      <c r="D37" s="16"/>
      <c r="E37" s="123" t="s">
        <v>162</v>
      </c>
      <c r="F37" s="97"/>
      <c r="G37" s="100"/>
      <c r="H37" s="84">
        <f t="shared" si="0"/>
        <v>22</v>
      </c>
      <c r="I37" s="69">
        <f>IF(ISNA(VLOOKUP($B37,基本給DB!$B$4:$K$43,基本給DB!E$2,FALSE)),0,VLOOKUP($B37,基本給DB!$B$4:$K$43,基本給DB!E$2,FALSE))</f>
        <v>0</v>
      </c>
      <c r="J37" s="18"/>
      <c r="K37" s="60">
        <f>IF(ISNA(VLOOKUP($B37,基本給DB!$B$4:$K$43,基本給DB!K$2,FALSE)),0,VLOOKUP($B37,基本給DB!$B$4:$K$43,基本給DB!K$2,FALSE))-J37</f>
        <v>0</v>
      </c>
      <c r="L37" s="20"/>
      <c r="M37" s="63">
        <f>IF(ISNA(VLOOKUP($B37,基本給DB!$B$4:$K$43,基本給DB!G$2,FALSE)),0,VLOOKUP($B37,基本給DB!$B$4:$K$43,基本給DB!G$2,FALSE))</f>
        <v>0</v>
      </c>
      <c r="N37" s="19"/>
      <c r="O37" s="19"/>
      <c r="P37" s="60">
        <f>IF(ISNA(VLOOKUP($B37,基本給DB!$B$4:$K$43,基本給DB!J$2,FALSE)),0,VLOOKUP($B37,基本給DB!$B$4:$K$43,基本給DB!J$2,FALSE))</f>
        <v>0</v>
      </c>
      <c r="Q37" s="21">
        <f t="shared" si="1"/>
        <v>0</v>
      </c>
      <c r="R37" s="21">
        <f t="shared" si="2"/>
        <v>0</v>
      </c>
      <c r="S37" s="22">
        <f t="shared" si="3"/>
        <v>0</v>
      </c>
      <c r="T37" s="63">
        <f>IF(ISNA(VLOOKUP($B37,基本給DB!$B$4:$K$43,基本給DB!H$2,FALSE)),0,VLOOKUP($B37,基本給DB!$B$4:$K$43,基本給DB!H$2,FALSE))</f>
        <v>0</v>
      </c>
      <c r="U37" s="60">
        <f>IF(ISNA(VLOOKUP($B37,基本給DB!$B$4:$K$43,基本給DB!I$2,FALSE)),0,VLOOKUP($B37,基本給DB!$B$4:$K$43,基本給DB!I$2,FALSE))</f>
        <v>0</v>
      </c>
      <c r="V37" s="60">
        <f>Q37*マスタ!$E$10</f>
        <v>0</v>
      </c>
      <c r="W37" s="21">
        <f t="shared" si="4"/>
        <v>0</v>
      </c>
      <c r="X37" s="22">
        <f t="shared" si="5"/>
        <v>0</v>
      </c>
      <c r="Y37" s="63">
        <f>IF(ISNA(VLOOKUP($B37,基本給DB!$B$4:$S$43,基本給DB!Q$2,FALSE)),0,VLOOKUP($B37,基本給DB!$B$4:$S$43,基本給DB!Q$2,FALSE))</f>
        <v>0</v>
      </c>
      <c r="Z37" s="19"/>
      <c r="AA37" s="19"/>
      <c r="AB37" s="22">
        <f t="shared" si="6"/>
        <v>0</v>
      </c>
      <c r="AC37" s="125">
        <f t="shared" si="7"/>
        <v>0</v>
      </c>
    </row>
    <row r="38" spans="2:29">
      <c r="B38" s="28"/>
      <c r="C38" s="15"/>
      <c r="D38" s="16"/>
      <c r="E38" s="35" t="s">
        <v>162</v>
      </c>
      <c r="F38" s="97"/>
      <c r="G38" s="100"/>
      <c r="H38" s="84">
        <f t="shared" si="0"/>
        <v>22</v>
      </c>
      <c r="I38" s="69">
        <f>IF(ISNA(VLOOKUP($B38,基本給DB!$B$4:$K$43,基本給DB!E$2,FALSE)),0,VLOOKUP($B38,基本給DB!$B$4:$K$43,基本給DB!E$2,FALSE))</f>
        <v>0</v>
      </c>
      <c r="J38" s="18"/>
      <c r="K38" s="60">
        <f>IF(ISNA(VLOOKUP($B38,基本給DB!$B$4:$K$43,基本給DB!K$2,FALSE)),0,VLOOKUP($B38,基本給DB!$B$4:$K$43,基本給DB!K$2,FALSE))-J38</f>
        <v>0</v>
      </c>
      <c r="L38" s="20"/>
      <c r="M38" s="63">
        <f>IF(ISNA(VLOOKUP($B38,基本給DB!$B$4:$K$43,基本給DB!G$2,FALSE)),0,VLOOKUP($B38,基本給DB!$B$4:$K$43,基本給DB!G$2,FALSE))</f>
        <v>0</v>
      </c>
      <c r="N38" s="19"/>
      <c r="O38" s="19"/>
      <c r="P38" s="60">
        <f>IF(ISNA(VLOOKUP($B38,基本給DB!$B$4:$K$43,基本給DB!J$2,FALSE)),0,VLOOKUP($B38,基本給DB!$B$4:$K$43,基本給DB!J$2,FALSE))</f>
        <v>0</v>
      </c>
      <c r="Q38" s="21">
        <f t="shared" si="1"/>
        <v>0</v>
      </c>
      <c r="R38" s="21">
        <f t="shared" si="2"/>
        <v>0</v>
      </c>
      <c r="S38" s="22">
        <f t="shared" si="3"/>
        <v>0</v>
      </c>
      <c r="T38" s="63">
        <f>IF(ISNA(VLOOKUP($B38,基本給DB!$B$4:$K$43,基本給DB!H$2,FALSE)),0,VLOOKUP($B38,基本給DB!$B$4:$K$43,基本給DB!H$2,FALSE))</f>
        <v>0</v>
      </c>
      <c r="U38" s="60">
        <f>IF(ISNA(VLOOKUP($B38,基本給DB!$B$4:$K$43,基本給DB!I$2,FALSE)),0,VLOOKUP($B38,基本給DB!$B$4:$K$43,基本給DB!I$2,FALSE))</f>
        <v>0</v>
      </c>
      <c r="V38" s="60">
        <f>Q38*マスタ!$E$10</f>
        <v>0</v>
      </c>
      <c r="W38" s="21">
        <f t="shared" si="4"/>
        <v>0</v>
      </c>
      <c r="X38" s="22">
        <f t="shared" si="5"/>
        <v>0</v>
      </c>
      <c r="Y38" s="63">
        <f>IF(ISNA(VLOOKUP($B38,基本給DB!$B$4:$S$43,基本給DB!Q$2,FALSE)),0,VLOOKUP($B38,基本給DB!$B$4:$S$43,基本給DB!Q$2,FALSE))</f>
        <v>0</v>
      </c>
      <c r="Z38" s="19"/>
      <c r="AA38" s="19"/>
      <c r="AB38" s="22">
        <f t="shared" si="6"/>
        <v>0</v>
      </c>
      <c r="AC38" s="125">
        <f t="shared" si="7"/>
        <v>0</v>
      </c>
    </row>
    <row r="39" spans="2:29">
      <c r="B39" s="28"/>
      <c r="C39" s="15"/>
      <c r="D39" s="16"/>
      <c r="E39" s="35" t="s">
        <v>162</v>
      </c>
      <c r="F39" s="97"/>
      <c r="G39" s="100"/>
      <c r="H39" s="84">
        <f t="shared" si="0"/>
        <v>22</v>
      </c>
      <c r="I39" s="69">
        <f>IF(ISNA(VLOOKUP($B39,基本給DB!$B$4:$K$43,基本給DB!E$2,FALSE)),0,VLOOKUP($B39,基本給DB!$B$4:$K$43,基本給DB!E$2,FALSE))</f>
        <v>0</v>
      </c>
      <c r="J39" s="18"/>
      <c r="K39" s="60">
        <f>IF(ISNA(VLOOKUP($B39,基本給DB!$B$4:$K$43,基本給DB!K$2,FALSE)),0,VLOOKUP($B39,基本給DB!$B$4:$K$43,基本給DB!K$2,FALSE))-J39</f>
        <v>0</v>
      </c>
      <c r="L39" s="20"/>
      <c r="M39" s="63">
        <f>IF(ISNA(VLOOKUP($B39,基本給DB!$B$4:$K$43,基本給DB!G$2,FALSE)),0,VLOOKUP($B39,基本給DB!$B$4:$K$43,基本給DB!G$2,FALSE))</f>
        <v>0</v>
      </c>
      <c r="N39" s="19"/>
      <c r="O39" s="19"/>
      <c r="P39" s="60">
        <f>IF(ISNA(VLOOKUP($B39,基本給DB!$B$4:$K$43,基本給DB!J$2,FALSE)),0,VLOOKUP($B39,基本給DB!$B$4:$K$43,基本給DB!J$2,FALSE))</f>
        <v>0</v>
      </c>
      <c r="Q39" s="21">
        <f t="shared" si="1"/>
        <v>0</v>
      </c>
      <c r="R39" s="21">
        <f t="shared" si="2"/>
        <v>0</v>
      </c>
      <c r="S39" s="22">
        <f t="shared" si="3"/>
        <v>0</v>
      </c>
      <c r="T39" s="63">
        <f>IF(ISNA(VLOOKUP($B39,基本給DB!$B$4:$K$43,基本給DB!H$2,FALSE)),0,VLOOKUP($B39,基本給DB!$B$4:$K$43,基本給DB!H$2,FALSE))</f>
        <v>0</v>
      </c>
      <c r="U39" s="60">
        <f>IF(ISNA(VLOOKUP($B39,基本給DB!$B$4:$K$43,基本給DB!I$2,FALSE)),0,VLOOKUP($B39,基本給DB!$B$4:$K$43,基本給DB!I$2,FALSE))</f>
        <v>0</v>
      </c>
      <c r="V39" s="60">
        <f>Q39*マスタ!$E$10</f>
        <v>0</v>
      </c>
      <c r="W39" s="21">
        <f t="shared" si="4"/>
        <v>0</v>
      </c>
      <c r="X39" s="22">
        <f t="shared" si="5"/>
        <v>0</v>
      </c>
      <c r="Y39" s="63">
        <f>IF(ISNA(VLOOKUP($B39,基本給DB!$B$4:$S$43,基本給DB!Q$2,FALSE)),0,VLOOKUP($B39,基本給DB!$B$4:$S$43,基本給DB!Q$2,FALSE))</f>
        <v>0</v>
      </c>
      <c r="Z39" s="19"/>
      <c r="AA39" s="19"/>
      <c r="AB39" s="22">
        <f t="shared" si="6"/>
        <v>0</v>
      </c>
      <c r="AC39" s="125">
        <f t="shared" si="7"/>
        <v>0</v>
      </c>
    </row>
    <row r="40" spans="2:29">
      <c r="B40" s="28"/>
      <c r="C40" s="15"/>
      <c r="D40" s="16"/>
      <c r="E40" s="123" t="s">
        <v>162</v>
      </c>
      <c r="F40" s="97"/>
      <c r="G40" s="100"/>
      <c r="H40" s="84">
        <f t="shared" si="0"/>
        <v>22</v>
      </c>
      <c r="I40" s="69">
        <f>IF(ISNA(VLOOKUP($B40,基本給DB!$B$4:$K$43,基本給DB!E$2,FALSE)),0,VLOOKUP($B40,基本給DB!$B$4:$K$43,基本給DB!E$2,FALSE))</f>
        <v>0</v>
      </c>
      <c r="J40" s="18"/>
      <c r="K40" s="60">
        <f>IF(ISNA(VLOOKUP($B40,基本給DB!$B$4:$K$43,基本給DB!K$2,FALSE)),0,VLOOKUP($B40,基本給DB!$B$4:$K$43,基本給DB!K$2,FALSE))-J40</f>
        <v>0</v>
      </c>
      <c r="L40" s="20"/>
      <c r="M40" s="63">
        <f>IF(ISNA(VLOOKUP($B40,基本給DB!$B$4:$K$43,基本給DB!G$2,FALSE)),0,VLOOKUP($B40,基本給DB!$B$4:$K$43,基本給DB!G$2,FALSE))</f>
        <v>0</v>
      </c>
      <c r="N40" s="19"/>
      <c r="O40" s="19"/>
      <c r="P40" s="60">
        <f>IF(ISNA(VLOOKUP($B40,基本給DB!$B$4:$K$43,基本給DB!J$2,FALSE)),0,VLOOKUP($B40,基本給DB!$B$4:$K$43,基本給DB!J$2,FALSE))</f>
        <v>0</v>
      </c>
      <c r="Q40" s="21">
        <f t="shared" si="1"/>
        <v>0</v>
      </c>
      <c r="R40" s="21">
        <f t="shared" si="2"/>
        <v>0</v>
      </c>
      <c r="S40" s="22">
        <f t="shared" si="3"/>
        <v>0</v>
      </c>
      <c r="T40" s="63">
        <f>IF(ISNA(VLOOKUP($B40,基本給DB!$B$4:$K$43,基本給DB!H$2,FALSE)),0,VLOOKUP($B40,基本給DB!$B$4:$K$43,基本給DB!H$2,FALSE))</f>
        <v>0</v>
      </c>
      <c r="U40" s="60">
        <f>IF(ISNA(VLOOKUP($B40,基本給DB!$B$4:$K$43,基本給DB!I$2,FALSE)),0,VLOOKUP($B40,基本給DB!$B$4:$K$43,基本給DB!I$2,FALSE))</f>
        <v>0</v>
      </c>
      <c r="V40" s="60">
        <f>Q40*マスタ!$E$10</f>
        <v>0</v>
      </c>
      <c r="W40" s="21">
        <f t="shared" si="4"/>
        <v>0</v>
      </c>
      <c r="X40" s="22">
        <f t="shared" si="5"/>
        <v>0</v>
      </c>
      <c r="Y40" s="63">
        <f>IF(ISNA(VLOOKUP($B40,基本給DB!$B$4:$S$43,基本給DB!Q$2,FALSE)),0,VLOOKUP($B40,基本給DB!$B$4:$S$43,基本給DB!Q$2,FALSE))</f>
        <v>0</v>
      </c>
      <c r="Z40" s="19"/>
      <c r="AA40" s="19"/>
      <c r="AB40" s="22">
        <f t="shared" si="6"/>
        <v>0</v>
      </c>
      <c r="AC40" s="125">
        <f t="shared" si="7"/>
        <v>0</v>
      </c>
    </row>
    <row r="41" spans="2:29">
      <c r="B41" s="28"/>
      <c r="C41" s="15"/>
      <c r="D41" s="16"/>
      <c r="E41" s="123" t="s">
        <v>162</v>
      </c>
      <c r="F41" s="97"/>
      <c r="G41" s="100"/>
      <c r="H41" s="84">
        <f t="shared" si="0"/>
        <v>22</v>
      </c>
      <c r="I41" s="69">
        <f>IF(ISNA(VLOOKUP($B41,基本給DB!$B$4:$K$43,基本給DB!E$2,FALSE)),0,VLOOKUP($B41,基本給DB!$B$4:$K$43,基本給DB!E$2,FALSE))</f>
        <v>0</v>
      </c>
      <c r="J41" s="18"/>
      <c r="K41" s="60">
        <f>IF(ISNA(VLOOKUP($B41,基本給DB!$B$4:$K$43,基本給DB!K$2,FALSE)),0,VLOOKUP($B41,基本給DB!$B$4:$K$43,基本給DB!K$2,FALSE))-J41</f>
        <v>0</v>
      </c>
      <c r="L41" s="20"/>
      <c r="M41" s="63">
        <f>IF(ISNA(VLOOKUP($B41,基本給DB!$B$4:$K$43,基本給DB!G$2,FALSE)),0,VLOOKUP($B41,基本給DB!$B$4:$K$43,基本給DB!G$2,FALSE))</f>
        <v>0</v>
      </c>
      <c r="N41" s="19"/>
      <c r="O41" s="19"/>
      <c r="P41" s="60">
        <f>IF(ISNA(VLOOKUP($B41,基本給DB!$B$4:$K$43,基本給DB!J$2,FALSE)),0,VLOOKUP($B41,基本給DB!$B$4:$K$43,基本給DB!J$2,FALSE))</f>
        <v>0</v>
      </c>
      <c r="Q41" s="21">
        <f t="shared" si="1"/>
        <v>0</v>
      </c>
      <c r="R41" s="21">
        <f t="shared" si="2"/>
        <v>0</v>
      </c>
      <c r="S41" s="22">
        <f t="shared" si="3"/>
        <v>0</v>
      </c>
      <c r="T41" s="63">
        <f>IF(ISNA(VLOOKUP($B41,基本給DB!$B$4:$K$43,基本給DB!H$2,FALSE)),0,VLOOKUP($B41,基本給DB!$B$4:$K$43,基本給DB!H$2,FALSE))</f>
        <v>0</v>
      </c>
      <c r="U41" s="60">
        <f>IF(ISNA(VLOOKUP($B41,基本給DB!$B$4:$K$43,基本給DB!I$2,FALSE)),0,VLOOKUP($B41,基本給DB!$B$4:$K$43,基本給DB!I$2,FALSE))</f>
        <v>0</v>
      </c>
      <c r="V41" s="60">
        <f>Q41*マスタ!$E$10</f>
        <v>0</v>
      </c>
      <c r="W41" s="21">
        <f t="shared" si="4"/>
        <v>0</v>
      </c>
      <c r="X41" s="22">
        <f t="shared" si="5"/>
        <v>0</v>
      </c>
      <c r="Y41" s="63">
        <f>IF(ISNA(VLOOKUP($B41,基本給DB!$B$4:$S$43,基本給DB!Q$2,FALSE)),0,VLOOKUP($B41,基本給DB!$B$4:$S$43,基本給DB!Q$2,FALSE))</f>
        <v>0</v>
      </c>
      <c r="Z41" s="19"/>
      <c r="AA41" s="19"/>
      <c r="AB41" s="22">
        <f t="shared" si="6"/>
        <v>0</v>
      </c>
      <c r="AC41" s="125">
        <f t="shared" si="7"/>
        <v>0</v>
      </c>
    </row>
    <row r="42" spans="2:29">
      <c r="B42" s="28"/>
      <c r="C42" s="15"/>
      <c r="D42" s="16"/>
      <c r="E42" s="35" t="s">
        <v>39</v>
      </c>
      <c r="F42" s="33"/>
      <c r="G42" s="19"/>
      <c r="H42" s="84">
        <f t="shared" si="0"/>
        <v>22</v>
      </c>
      <c r="I42" s="69">
        <f>IF(ISNA(VLOOKUP($B42,基本給DB!$B$4:$K$43,基本給DB!E$2,FALSE)),0,VLOOKUP($B42,基本給DB!$B$4:$K$43,基本給DB!E$2,FALSE))</f>
        <v>0</v>
      </c>
      <c r="J42" s="18"/>
      <c r="K42" s="60">
        <f>IF(ISNA(VLOOKUP($B42,基本給DB!$B$4:$K$43,基本給DB!K$2,FALSE)),0,VLOOKUP($B42,基本給DB!$B$4:$K$43,基本給DB!K$2,FALSE))-J42</f>
        <v>0</v>
      </c>
      <c r="L42" s="20"/>
      <c r="M42" s="63">
        <f>IF(ISNA(VLOOKUP($B42,基本給DB!$B$4:$K$43,基本給DB!G$2,FALSE)),0,VLOOKUP($B42,基本給DB!$B$4:$K$43,基本給DB!G$2,FALSE))</f>
        <v>0</v>
      </c>
      <c r="N42" s="19"/>
      <c r="O42" s="19"/>
      <c r="P42" s="60">
        <f>IF(ISNA(VLOOKUP($B42,基本給DB!$B$4:$K$43,基本給DB!J$2,FALSE)),0,VLOOKUP($B42,基本給DB!$B$4:$K$43,基本給DB!J$2,FALSE))</f>
        <v>0</v>
      </c>
      <c r="Q42" s="21">
        <f t="shared" si="1"/>
        <v>0</v>
      </c>
      <c r="R42" s="21">
        <f t="shared" si="2"/>
        <v>0</v>
      </c>
      <c r="S42" s="22">
        <f t="shared" si="3"/>
        <v>0</v>
      </c>
      <c r="T42" s="63">
        <f>IF(ISNA(VLOOKUP($B42,基本給DB!$B$4:$K$43,基本給DB!H$2,FALSE)),0,VLOOKUP($B42,基本給DB!$B$4:$K$43,基本給DB!H$2,FALSE))</f>
        <v>0</v>
      </c>
      <c r="U42" s="60">
        <f>IF(ISNA(VLOOKUP($B42,基本給DB!$B$4:$K$43,基本給DB!I$2,FALSE)),0,VLOOKUP($B42,基本給DB!$B$4:$K$43,基本給DB!I$2,FALSE))</f>
        <v>0</v>
      </c>
      <c r="V42" s="60">
        <f>Q42*マスタ!$E$10</f>
        <v>0</v>
      </c>
      <c r="W42" s="21">
        <f t="shared" si="4"/>
        <v>0</v>
      </c>
      <c r="X42" s="22">
        <f t="shared" si="5"/>
        <v>0</v>
      </c>
      <c r="Y42" s="63">
        <f>IF(ISNA(VLOOKUP($B42,基本給DB!$B$4:$S$43,基本給DB!Q$2,FALSE)),0,VLOOKUP($B42,基本給DB!$B$4:$S$43,基本給DB!Q$2,FALSE))</f>
        <v>0</v>
      </c>
      <c r="Z42" s="19"/>
      <c r="AA42" s="19"/>
      <c r="AB42" s="22">
        <f t="shared" si="6"/>
        <v>0</v>
      </c>
      <c r="AC42" s="125">
        <f t="shared" si="7"/>
        <v>0</v>
      </c>
    </row>
  </sheetData>
  <sheetProtection sheet="1" objects="1" scenarios="1" formatCells="0" formatColumns="0" formatRows="0" insertColumns="0" insertRows="0" insertHyperlinks="0" deleteColumns="0" deleteRows="0" sort="0" autoFilter="0" pivotTables="0"/>
  <protectedRanges>
    <protectedRange sqref="Z9:AA42" name="範囲10"/>
    <protectedRange sqref="E3:E4" name="範囲8"/>
    <protectedRange sqref="C3:C4" name="範囲7"/>
    <protectedRange sqref="N7:P42" name="範囲5"/>
    <protectedRange sqref="L7:L42" name="範囲4"/>
    <protectedRange sqref="F7:G7 F9:G42 G8:H8" name="範囲2"/>
    <protectedRange sqref="E6:E42 F8" name="範囲1"/>
    <protectedRange sqref="J9:J42" name="範囲9"/>
  </protectedRanges>
  <mergeCells count="9">
    <mergeCell ref="AC6:AC7"/>
    <mergeCell ref="Y6:AB6"/>
    <mergeCell ref="B2:E2"/>
    <mergeCell ref="B6:D6"/>
    <mergeCell ref="E6:E7"/>
    <mergeCell ref="F6:I6"/>
    <mergeCell ref="J6:L6"/>
    <mergeCell ref="M6:S6"/>
    <mergeCell ref="T6:X6"/>
  </mergeCells>
  <phoneticPr fontId="3"/>
  <dataValidations count="6">
    <dataValidation type="list" allowBlank="1" showInputMessage="1" showErrorMessage="1" sqref="E9:E42">
      <formula1>INDIRECT(発行不要リスト)</formula1>
    </dataValidation>
    <dataValidation type="list" allowBlank="1" showInputMessage="1" showErrorMessage="1" sqref="C4">
      <formula1>INDIRECT(月リスト)</formula1>
    </dataValidation>
    <dataValidation type="whole" allowBlank="1" showInputMessage="1" showErrorMessage="1" sqref="N9:P42 L9:L42">
      <formula1>-99999999</formula1>
      <formula2>99999999</formula2>
    </dataValidation>
    <dataValidation type="whole" allowBlank="1" showInputMessage="1" showErrorMessage="1" sqref="G9:G42 Z9:AA42">
      <formula1>-999999999</formula1>
      <formula2>999999999</formula2>
    </dataValidation>
    <dataValidation type="whole" allowBlank="1" showInputMessage="1" showErrorMessage="1" sqref="I9:J42">
      <formula1>-9999999</formula1>
      <formula2>99999999</formula2>
    </dataValidation>
    <dataValidation type="decimal" allowBlank="1" showInputMessage="1" showErrorMessage="1" sqref="F9:F42">
      <formula1>-9999999.99</formula1>
      <formula2>9999999.99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ボタン1_Click">
                <anchor moveWithCells="1" sizeWithCells="1">
                  <from>
                    <xdr:col>5</xdr:col>
                    <xdr:colOff>247650</xdr:colOff>
                    <xdr:row>1</xdr:row>
                    <xdr:rowOff>9525</xdr:rowOff>
                  </from>
                  <to>
                    <xdr:col>7</xdr:col>
                    <xdr:colOff>266700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ボタン2_Click">
                <anchor moveWithCells="1" sizeWithCells="1">
                  <from>
                    <xdr:col>8</xdr:col>
                    <xdr:colOff>171450</xdr:colOff>
                    <xdr:row>1</xdr:row>
                    <xdr:rowOff>9525</xdr:rowOff>
                  </from>
                  <to>
                    <xdr:col>10</xdr:col>
                    <xdr:colOff>190500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6" name="Button 6">
              <controlPr defaultSize="0" print="0" autoFill="0" autoPict="0" macro="[0]!ボタン6_Click">
                <anchor moveWithCells="1" sizeWithCells="1">
                  <from>
                    <xdr:col>11</xdr:col>
                    <xdr:colOff>171450</xdr:colOff>
                    <xdr:row>1</xdr:row>
                    <xdr:rowOff>9525</xdr:rowOff>
                  </from>
                  <to>
                    <xdr:col>13</xdr:col>
                    <xdr:colOff>76200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002"/>
  <dimension ref="B1:Q43"/>
  <sheetViews>
    <sheetView zoomScale="130" zoomScaleNormal="130" workbookViewId="0">
      <selection activeCell="E9" sqref="E9"/>
    </sheetView>
  </sheetViews>
  <sheetFormatPr defaultRowHeight="13.5"/>
  <cols>
    <col min="1" max="1" width="3.5" style="1" customWidth="1"/>
    <col min="2" max="2" width="3.75" style="1" customWidth="1"/>
    <col min="3" max="3" width="15.375" style="1" customWidth="1"/>
    <col min="4" max="4" width="8.125" style="1" bestFit="1" customWidth="1"/>
    <col min="5" max="6" width="8.125" style="1" customWidth="1"/>
    <col min="7" max="7" width="9.25" style="1" bestFit="1" customWidth="1"/>
    <col min="8" max="9" width="9" style="1"/>
    <col min="10" max="10" width="9" style="29"/>
    <col min="11" max="11" width="7.25" style="1" customWidth="1"/>
    <col min="12" max="16384" width="9" style="1"/>
  </cols>
  <sheetData>
    <row r="1" spans="2:17">
      <c r="J1" s="1"/>
      <c r="K1" s="66"/>
      <c r="L1" s="1" t="s">
        <v>105</v>
      </c>
    </row>
    <row r="2" spans="2:17">
      <c r="B2" s="1" t="s">
        <v>35</v>
      </c>
      <c r="D2" s="1">
        <f>COLUMN()-1</f>
        <v>3</v>
      </c>
      <c r="E2" s="1">
        <f t="shared" ref="E2:Q2" si="0">COLUMN()-1</f>
        <v>4</v>
      </c>
      <c r="F2" s="1">
        <f t="shared" si="0"/>
        <v>5</v>
      </c>
      <c r="G2" s="1">
        <f t="shared" si="0"/>
        <v>6</v>
      </c>
      <c r="H2" s="1">
        <f t="shared" si="0"/>
        <v>7</v>
      </c>
      <c r="I2" s="1">
        <f t="shared" si="0"/>
        <v>8</v>
      </c>
      <c r="J2" s="1">
        <f t="shared" si="0"/>
        <v>9</v>
      </c>
      <c r="K2" s="1">
        <f t="shared" si="0"/>
        <v>10</v>
      </c>
      <c r="L2" s="1">
        <f t="shared" si="0"/>
        <v>11</v>
      </c>
      <c r="M2" s="1">
        <f t="shared" si="0"/>
        <v>12</v>
      </c>
      <c r="N2" s="1">
        <f t="shared" si="0"/>
        <v>13</v>
      </c>
      <c r="O2" s="1">
        <f t="shared" si="0"/>
        <v>14</v>
      </c>
      <c r="P2" s="1">
        <f t="shared" si="0"/>
        <v>15</v>
      </c>
      <c r="Q2" s="1">
        <f t="shared" si="0"/>
        <v>16</v>
      </c>
    </row>
    <row r="3" spans="2:17" ht="14.25" thickBot="1">
      <c r="B3" s="80" t="s">
        <v>10</v>
      </c>
      <c r="C3" s="80" t="s">
        <v>11</v>
      </c>
      <c r="D3" s="81" t="s">
        <v>95</v>
      </c>
      <c r="E3" s="81" t="s">
        <v>109</v>
      </c>
      <c r="F3" s="81" t="s">
        <v>96</v>
      </c>
      <c r="G3" s="80" t="s">
        <v>19</v>
      </c>
      <c r="H3" s="80" t="s">
        <v>26</v>
      </c>
      <c r="I3" s="80" t="s">
        <v>27</v>
      </c>
      <c r="J3" s="80" t="s">
        <v>102</v>
      </c>
      <c r="K3" s="80" t="s">
        <v>36</v>
      </c>
      <c r="L3" s="80" t="s">
        <v>117</v>
      </c>
      <c r="M3" s="80" t="s">
        <v>118</v>
      </c>
      <c r="N3" s="80" t="s">
        <v>119</v>
      </c>
      <c r="O3" s="80" t="s">
        <v>120</v>
      </c>
      <c r="P3" s="80" t="s">
        <v>121</v>
      </c>
      <c r="Q3" s="80" t="s">
        <v>122</v>
      </c>
    </row>
    <row r="4" spans="2:17" ht="14.25" thickTop="1">
      <c r="B4" s="9">
        <v>1</v>
      </c>
      <c r="C4" s="9" t="s">
        <v>97</v>
      </c>
      <c r="D4" s="34" t="s">
        <v>98</v>
      </c>
      <c r="E4" s="34">
        <v>3</v>
      </c>
      <c r="F4" s="101">
        <f ca="1">IF(B4="","",INDIRECT("保険年金算出表!A"&amp; MATCH(G4,保険年金算出表!$F$4:$F$50,1)+4))</f>
        <v>43</v>
      </c>
      <c r="G4" s="23">
        <v>1000000</v>
      </c>
      <c r="H4" s="103">
        <f ca="1">IF(B4="","",INDIRECT(IF(D4&lt;&gt;"","保険年金算出表!J","保険年金算出表!H")&amp;MATCH(G4,保険年金算出表!$F$4:$F$50,1)+4))</f>
        <v>56448</v>
      </c>
      <c r="I4" s="103">
        <f ca="1">IF(B4="","",INDIRECT("保険年金算出表!Ｌ"&amp;MATCH(G4,保険年金算出表!$F$4:$F$50,1)+4))</f>
        <v>51974.6</v>
      </c>
      <c r="J4" s="56">
        <v>25680</v>
      </c>
      <c r="K4" s="23">
        <v>24</v>
      </c>
      <c r="L4" s="105">
        <f>IF(B4="","",IF(ISNA(MATCH($G4,源泉徴収額算出表!$B$4:$B$9,1)),源泉徴収額算出表!$A$4,MATCH($G4,源泉徴収額算出表!$B$4:$B$9,1) + 源泉徴収額算出表!$A$4))</f>
        <v>9</v>
      </c>
      <c r="M4" s="105">
        <f ca="1">IF(B4="","",IF(L4=源泉徴収額算出表!$A$4,源泉徴収額算出表!$C$4,給与明細情報!X9 * INDIRECT("源泉徴収額算出表!C"&amp; L4) +  INDIRECT("源泉徴収額算出表!D"&amp; L4)))</f>
        <v>185989.45</v>
      </c>
      <c r="N4" s="105">
        <f>IF(B4="","",源泉徴収額算出表!$C$13 * E4 + 源泉徴収額算出表!$C$14)</f>
        <v>126668</v>
      </c>
      <c r="O4" s="105">
        <f t="shared" ref="O4:O43" ca="1" si="1">IF(B4="","",IF(G4-SUM(M4:N4)&lt;0,0,G4-SUM(M4:N4)))</f>
        <v>687342.55</v>
      </c>
      <c r="P4" s="105">
        <f ca="1">IF(B4="","",IF(ISNA(MATCH(O4,源泉徴収額算出表!$B$18:$B$23,1)),源泉徴収額算出表!$A$18,MATCH(O4,源泉徴収額算出表!$B$18:$B$23,1) + 源泉徴収額算出表!$A$18))</f>
        <v>21</v>
      </c>
      <c r="Q4" s="105">
        <f t="shared" ref="Q4:Q43" ca="1" si="2">IF(B4="","",ROUND(O4 * INDIRECT("源泉徴収額算出表!C"&amp;P4) + INDIRECT("源泉徴収額算出表!D"&amp;P4),0))</f>
        <v>211089</v>
      </c>
    </row>
    <row r="5" spans="2:17">
      <c r="B5" s="17">
        <v>2</v>
      </c>
      <c r="C5" s="17" t="s">
        <v>104</v>
      </c>
      <c r="D5" s="35"/>
      <c r="E5" s="35"/>
      <c r="F5" s="102" t="str">
        <f ca="1">IF(B5="","",INDIRECT("保険年金算出表!A"&amp; MATCH(G5,保険年金算出表!$F$4:$F$50,1)+4))</f>
        <v>27(23)</v>
      </c>
      <c r="G5" s="24">
        <v>420000</v>
      </c>
      <c r="H5" s="104">
        <f ca="1">IF(B5="","",INDIRECT(IF(D5&lt;&gt;"","保険年金算出表!J","保険年金算出表!H")&amp;MATCH(G5,保険年金算出表!$F$4:$F$50,1)+4))</f>
        <v>20438.5</v>
      </c>
      <c r="I5" s="104">
        <f ca="1">IF(B5="","",INDIRECT("保険年金算出表!Ｌ"&amp;MATCH(G5,保険年金算出表!$F$4:$F$50,1)+4))</f>
        <v>34370.300000000003</v>
      </c>
      <c r="J5" s="56">
        <v>20720</v>
      </c>
      <c r="K5" s="24">
        <v>24</v>
      </c>
      <c r="L5" s="106">
        <f>IF(B5="","",IF(ISNA(MATCH($G5,源泉徴収額算出表!$B$4:$B$9,1)),源泉徴収額算出表!$A$4,MATCH($G5,源泉徴収額算出表!$B$4:$B$9,1) + 源泉徴収額算出表!$A$4))</f>
        <v>7</v>
      </c>
      <c r="M5" s="106">
        <f ca="1">IF(B5="","",IF(L5=源泉徴収額算出表!$A$4,源泉徴収額算出表!$C$4,給与明細情報!X10 * INDIRECT("源泉徴収額算出表!C"&amp; L5) +  INDIRECT("源泉徴収額算出表!D"&amp; L5)))</f>
        <v>117597.52</v>
      </c>
      <c r="N5" s="106">
        <f>IF(B5="","",源泉徴収額算出表!$C$13 * E5 + 源泉徴収額算出表!$C$14)</f>
        <v>31667</v>
      </c>
      <c r="O5" s="106">
        <f t="shared" ca="1" si="1"/>
        <v>270735.48</v>
      </c>
      <c r="P5" s="106">
        <f ca="1">IF(B5="","",IF(ISNA(MATCH(O5,源泉徴収額算出表!$B$18:$B$23,1)),源泉徴収額算出表!$A$18,MATCH(O5,源泉徴収額算出表!$B$18:$B$23,1) + 源泉徴収額算出表!$A$18))</f>
        <v>19</v>
      </c>
      <c r="Q5" s="106">
        <f t="shared" ca="1" si="2"/>
        <v>35199</v>
      </c>
    </row>
    <row r="6" spans="2:17">
      <c r="B6" s="17">
        <v>3</v>
      </c>
      <c r="C6" s="17" t="s">
        <v>99</v>
      </c>
      <c r="D6" s="35" t="s">
        <v>98</v>
      </c>
      <c r="E6" s="35">
        <v>3</v>
      </c>
      <c r="F6" s="102" t="str">
        <f ca="1">IF(B6="","",INDIRECT("保険年金算出表!A"&amp; MATCH(G6,保険年金算出表!$F$4:$F$50,1)+4))</f>
        <v>22(18)</v>
      </c>
      <c r="G6" s="24">
        <v>300000</v>
      </c>
      <c r="H6" s="104">
        <f ca="1">IF(B6="","",INDIRECT(IF(D6&lt;&gt;"","保険年金算出表!J","保険年金算出表!H")&amp;MATCH(G6,保険年金算出表!$F$4:$F$50,1)+4))</f>
        <v>17280</v>
      </c>
      <c r="I6" s="104">
        <f ca="1">IF(B6="","",INDIRECT("保険年金算出表!Ｌ"&amp;MATCH(G6,保険年金算出表!$F$4:$F$50,1)+4))</f>
        <v>25149</v>
      </c>
      <c r="J6" s="56"/>
      <c r="K6" s="24">
        <v>24</v>
      </c>
      <c r="L6" s="106">
        <f>IF(B6="","",IF(ISNA(MATCH($G6,源泉徴収額算出表!$B$4:$B$9,1)),源泉徴収額算出表!$A$4,MATCH($G6,源泉徴収額算出表!$B$4:$B$9,1) + 源泉徴収額算出表!$A$4))</f>
        <v>7</v>
      </c>
      <c r="M6" s="106">
        <f ca="1">IF(B6="","",IF(L6=源泉徴収額算出表!$A$4,源泉徴収額算出表!$C$4,給与明細情報!X11 * INDIRECT("源泉徴収額算出表!C"&amp; L6) +  INDIRECT("源泉徴収額算出表!D"&amp; L6)))</f>
        <v>96214.200000000012</v>
      </c>
      <c r="N6" s="106">
        <f>IF(B6="","",源泉徴収額算出表!$C$13 * E6 + 源泉徴収額算出表!$C$14)</f>
        <v>126668</v>
      </c>
      <c r="O6" s="106">
        <f t="shared" ca="1" si="1"/>
        <v>77117.799999999988</v>
      </c>
      <c r="P6" s="106">
        <f ca="1">IF(B6="","",IF(ISNA(MATCH(O6,源泉徴収額算出表!$B$18:$B$23,1)),源泉徴収額算出表!$A$18,MATCH(O6,源泉徴収額算出表!$B$18:$B$23,1) + 源泉徴収額算出表!$A$18))</f>
        <v>18</v>
      </c>
      <c r="Q6" s="106">
        <f t="shared" ca="1" si="2"/>
        <v>3856</v>
      </c>
    </row>
    <row r="7" spans="2:17">
      <c r="B7" s="17">
        <v>9</v>
      </c>
      <c r="C7" s="17" t="s">
        <v>100</v>
      </c>
      <c r="D7" s="35"/>
      <c r="E7" s="35"/>
      <c r="F7" s="102" t="str">
        <f ca="1">IF(B7="","",INDIRECT("保険年金算出表!A"&amp; MATCH(G7,保険年金算出表!$F$4:$F$50,1)+4))</f>
        <v>20(16)</v>
      </c>
      <c r="G7" s="24">
        <v>260000</v>
      </c>
      <c r="H7" s="104">
        <f ca="1">IF(B7="","",INDIRECT(IF(D7&lt;&gt;"","保険年金算出表!J","保険年金算出表!H")&amp;MATCH(G7,保険年金算出表!$F$4:$F$50,1)+4))</f>
        <v>12961</v>
      </c>
      <c r="I7" s="104">
        <f ca="1">IF(B7="","",INDIRECT("保険年金算出表!Ｌ"&amp;MATCH(G7,保険年金算出表!$F$4:$F$50,1)+4))</f>
        <v>21795.8</v>
      </c>
      <c r="J7" s="56">
        <v>3328</v>
      </c>
      <c r="K7" s="24">
        <v>24</v>
      </c>
      <c r="L7" s="106">
        <f>IF(B7="","",IF(ISNA(MATCH($G7,源泉徴収額算出表!$B$4:$B$9,1)),源泉徴収額算出表!$A$4,MATCH($G7,源泉徴収額算出表!$B$4:$B$9,1) + 源泉徴収額算出表!$A$4))</f>
        <v>6</v>
      </c>
      <c r="M7" s="106">
        <f ca="1">IF(B7="","",IF(L7=源泉徴収額算出表!$A$4,源泉徴収額算出表!$C$4,給与明細情報!X12 * INDIRECT("源泉徴収額算出表!C"&amp; L7) +  INDIRECT("源泉徴収額算出表!D"&amp; L7)))</f>
        <v>82152.81</v>
      </c>
      <c r="N7" s="106">
        <f>IF(B7="","",源泉徴収額算出表!$C$13 * E7 + 源泉徴収額算出表!$C$14)</f>
        <v>31667</v>
      </c>
      <c r="O7" s="106">
        <f t="shared" ca="1" si="1"/>
        <v>146180.19</v>
      </c>
      <c r="P7" s="106">
        <f ca="1">IF(B7="","",IF(ISNA(MATCH(O7,源泉徴収額算出表!$B$18:$B$23,1)),源泉徴収額算出表!$A$18,MATCH(O7,源泉徴収額算出表!$B$18:$B$23,1) + 源泉徴収額算出表!$A$18))</f>
        <v>18</v>
      </c>
      <c r="Q7" s="106">
        <f t="shared" ca="1" si="2"/>
        <v>7309</v>
      </c>
    </row>
    <row r="8" spans="2:17">
      <c r="B8" s="17">
        <v>8</v>
      </c>
      <c r="C8" s="17" t="s">
        <v>101</v>
      </c>
      <c r="D8" s="35"/>
      <c r="E8" s="35"/>
      <c r="F8" s="102" t="str">
        <f ca="1">IF(B8="","",INDIRECT("保険年金算出表!A"&amp; MATCH(G8,保険年金算出表!$F$4:$F$50,1)+4))</f>
        <v>20(16)</v>
      </c>
      <c r="G8" s="24">
        <v>260000</v>
      </c>
      <c r="H8" s="104">
        <f ca="1">IF(B8="","",INDIRECT(IF(D8&lt;&gt;"","保険年金算出表!J","保険年金算出表!H")&amp;MATCH(G8,保険年金算出表!$F$4:$F$50,1)+4))</f>
        <v>12961</v>
      </c>
      <c r="I8" s="104">
        <f ca="1">IF(B8="","",INDIRECT("保険年金算出表!Ｌ"&amp;MATCH(G8,保険年金算出表!$F$4:$F$50,1)+4))</f>
        <v>21795.8</v>
      </c>
      <c r="J8" s="56">
        <v>20100</v>
      </c>
      <c r="K8" s="24">
        <v>24</v>
      </c>
      <c r="L8" s="106">
        <f>IF(B8="","",IF(ISNA(MATCH($G8,源泉徴収額算出表!$B$4:$B$9,1)),源泉徴収額算出表!$A$4,MATCH($G8,源泉徴収額算出表!$B$4:$B$9,1) + 源泉徴収額算出表!$A$4))</f>
        <v>6</v>
      </c>
      <c r="M8" s="106">
        <f ca="1">IF(B8="","",IF(L8=源泉徴収額算出表!$A$4,源泉徴収額算出表!$C$4,給与明細情報!X13 * INDIRECT("源泉徴収額算出表!C"&amp; L8) +  INDIRECT("源泉徴収額算出表!D"&amp; L8)))</f>
        <v>82177.967999999993</v>
      </c>
      <c r="N8" s="106">
        <f>IF(B8="","",源泉徴収額算出表!$C$13 * E8 + 源泉徴収額算出表!$C$14)</f>
        <v>31667</v>
      </c>
      <c r="O8" s="106">
        <f t="shared" ca="1" si="1"/>
        <v>146155.03200000001</v>
      </c>
      <c r="P8" s="106">
        <f ca="1">IF(B8="","",IF(ISNA(MATCH(O8,源泉徴収額算出表!$B$18:$B$23,1)),源泉徴収額算出表!$A$18,MATCH(O8,源泉徴収額算出表!$B$18:$B$23,1) + 源泉徴収額算出表!$A$18))</f>
        <v>18</v>
      </c>
      <c r="Q8" s="106">
        <f t="shared" ca="1" si="2"/>
        <v>7308</v>
      </c>
    </row>
    <row r="9" spans="2:17">
      <c r="B9" s="17">
        <v>11</v>
      </c>
      <c r="C9" s="17" t="s">
        <v>163</v>
      </c>
      <c r="D9" s="35"/>
      <c r="E9" s="35"/>
      <c r="F9" s="102" t="str">
        <f ca="1">IF(B9="","",INDIRECT("保険年金算出表!A"&amp; MATCH(G9,保険年金算出表!$F$4:$F$50,1)+4))</f>
        <v>18(14)</v>
      </c>
      <c r="G9" s="24">
        <v>225000</v>
      </c>
      <c r="H9" s="104">
        <f ca="1">IF(B9="","",INDIRECT(IF(D9&lt;&gt;"","保険年金算出表!J","保険年金算出表!H")&amp;MATCH(G9,保険年金算出表!$F$4:$F$50,1)+4))</f>
        <v>10967</v>
      </c>
      <c r="I9" s="104">
        <f ca="1">IF(B9="","",INDIRECT("保険年金算出表!Ｌ"&amp;MATCH(G9,保険年金算出表!$F$4:$F$50,1)+4))</f>
        <v>18442.599999999999</v>
      </c>
      <c r="J9" s="56">
        <v>170000</v>
      </c>
      <c r="K9" s="24">
        <v>20</v>
      </c>
      <c r="L9" s="106">
        <f>IF(B9="","",IF(ISNA(MATCH($G9,源泉徴収額算出表!$B$4:$B$9,1)),源泉徴収額算出表!$A$4,MATCH($G9,源泉徴収額算出表!$B$4:$B$9,1) + 源泉徴収額算出表!$A$4))</f>
        <v>6</v>
      </c>
      <c r="M9" s="106">
        <f ca="1">IF(B9="","",IF(L9=源泉徴収額算出表!$A$4,源泉徴収額算出表!$C$4,給与明細情報!X14 * INDIRECT("源泉徴収額算出表!C"&amp; L9) +  INDIRECT("源泉徴収額算出表!D"&amp; L9)))</f>
        <v>73084.62</v>
      </c>
      <c r="N9" s="106">
        <f>IF(B9="","",源泉徴収額算出表!$C$13 * E9 + 源泉徴収額算出表!$C$14)</f>
        <v>31667</v>
      </c>
      <c r="O9" s="106">
        <f t="shared" ca="1" si="1"/>
        <v>120248.38</v>
      </c>
      <c r="P9" s="106">
        <f ca="1">IF(B9="","",IF(ISNA(MATCH(O9,源泉徴収額算出表!$B$18:$B$23,1)),源泉徴収額算出表!$A$18,MATCH(O9,源泉徴収額算出表!$B$18:$B$23,1) + 源泉徴収額算出表!$A$18))</f>
        <v>18</v>
      </c>
      <c r="Q9" s="106">
        <f t="shared" ca="1" si="2"/>
        <v>6012</v>
      </c>
    </row>
    <row r="10" spans="2:17">
      <c r="B10" s="17">
        <v>12</v>
      </c>
      <c r="C10" s="17" t="s">
        <v>164</v>
      </c>
      <c r="D10" s="35"/>
      <c r="E10" s="35"/>
      <c r="F10" s="102" t="str">
        <f ca="1">IF(B10="","",INDIRECT("保険年金算出表!A"&amp; MATCH(G10,保険年金算出表!$F$4:$F$50,1)+4))</f>
        <v>18(14)</v>
      </c>
      <c r="G10" s="24">
        <v>225000</v>
      </c>
      <c r="H10" s="104">
        <f ca="1">IF(B10="","",INDIRECT(IF(D10&lt;&gt;"","保険年金算出表!J","保険年金算出表!H")&amp;MATCH(G10,保険年金算出表!$F$4:$F$50,1)+4))</f>
        <v>10967</v>
      </c>
      <c r="I10" s="104">
        <f ca="1">IF(B10="","",INDIRECT("保険年金算出表!Ｌ"&amp;MATCH(G10,保険年金算出表!$F$4:$F$50,1)+4))</f>
        <v>18442.599999999999</v>
      </c>
      <c r="J10" s="56">
        <v>21210</v>
      </c>
      <c r="K10" s="24">
        <v>20</v>
      </c>
      <c r="L10" s="106">
        <f>IF(B10="","",IF(ISNA(MATCH($G10,源泉徴収額算出表!$B$4:$B$9,1)),源泉徴収額算出表!$A$4,MATCH($G10,源泉徴収額算出表!$B$4:$B$9,1) + 源泉徴収額算出表!$A$4))</f>
        <v>6</v>
      </c>
      <c r="M10" s="106">
        <f ca="1">IF(B10="","",IF(L10=源泉徴収額算出表!$A$4,源泉徴収額算出表!$C$4,給与明細情報!X15 * INDIRECT("源泉徴収額算出表!C"&amp; L10) +  INDIRECT("源泉徴収額算出表!D"&amp; L10)))</f>
        <v>73307.804999999993</v>
      </c>
      <c r="N10" s="106">
        <f>IF(B10="","",源泉徴収額算出表!$C$13 * E10 + 源泉徴収額算出表!$C$14)</f>
        <v>31667</v>
      </c>
      <c r="O10" s="106">
        <f t="shared" ca="1" si="1"/>
        <v>120025.19500000001</v>
      </c>
      <c r="P10" s="106">
        <f ca="1">IF(B10="","",IF(ISNA(MATCH(O10,源泉徴収額算出表!$B$18:$B$23,1)),源泉徴収額算出表!$A$18,MATCH(O10,源泉徴収額算出表!$B$18:$B$23,1) + 源泉徴収額算出表!$A$18))</f>
        <v>18</v>
      </c>
      <c r="Q10" s="106">
        <f t="shared" ca="1" si="2"/>
        <v>6001</v>
      </c>
    </row>
    <row r="11" spans="2:17">
      <c r="B11" s="17"/>
      <c r="C11" s="17"/>
      <c r="D11" s="35"/>
      <c r="E11" s="35"/>
      <c r="F11" s="102" t="str">
        <f ca="1">IF(B11="","",INDIRECT("保険年金算出表!A"&amp; MATCH(G11,保険年金算出表!$F$4:$F$50,1)+4))</f>
        <v/>
      </c>
      <c r="G11" s="24"/>
      <c r="H11" s="104" t="str">
        <f ca="1">IF(B11="","",INDIRECT(IF(D11&lt;&gt;"","保険年金算出表!J","保険年金算出表!H")&amp;MATCH(G11,保険年金算出表!$F$4:$F$50,1)+4))</f>
        <v/>
      </c>
      <c r="I11" s="104" t="str">
        <f ca="1">IF(B11="","",INDIRECT("保険年金算出表!Ｌ"&amp;MATCH(G11,保険年金算出表!$F$4:$F$50,1)+4))</f>
        <v/>
      </c>
      <c r="J11" s="56"/>
      <c r="K11" s="24"/>
      <c r="L11" s="106" t="str">
        <f>IF(B11="","",IF(ISNA(MATCH($G11,源泉徴収額算出表!$B$4:$B$9,1)),源泉徴収額算出表!$A$4,MATCH($G11,源泉徴収額算出表!$B$4:$B$9,1) + 源泉徴収額算出表!$A$4))</f>
        <v/>
      </c>
      <c r="M11" s="106" t="str">
        <f ca="1">IF(B11="","",IF(L11=源泉徴収額算出表!$A$4,源泉徴収額算出表!$C$4,給与明細情報!X16 * INDIRECT("源泉徴収額算出表!C"&amp; L11) +  INDIRECT("源泉徴収額算出表!D"&amp; L11)))</f>
        <v/>
      </c>
      <c r="N11" s="106" t="str">
        <f>IF(B11="","",源泉徴収額算出表!$C$13 * E11 + 源泉徴収額算出表!$C$14)</f>
        <v/>
      </c>
      <c r="O11" s="106" t="str">
        <f t="shared" si="1"/>
        <v/>
      </c>
      <c r="P11" s="106" t="str">
        <f>IF(B11="","",IF(ISNA(MATCH(O11,源泉徴収額算出表!$B$18:$B$23,1)),源泉徴収額算出表!$A$18,MATCH(O11,源泉徴収額算出表!$B$18:$B$23,1) + 源泉徴収額算出表!$A$18))</f>
        <v/>
      </c>
      <c r="Q11" s="106" t="str">
        <f t="shared" ca="1" si="2"/>
        <v/>
      </c>
    </row>
    <row r="12" spans="2:17">
      <c r="B12" s="17"/>
      <c r="C12" s="17"/>
      <c r="D12" s="35"/>
      <c r="E12" s="35"/>
      <c r="F12" s="102" t="str">
        <f ca="1">IF(B12="","",INDIRECT("保険年金算出表!A"&amp; MATCH(G12,保険年金算出表!$F$4:$F$50,1)+4))</f>
        <v/>
      </c>
      <c r="G12" s="24"/>
      <c r="H12" s="104" t="str">
        <f ca="1">IF(B12="","",INDIRECT(IF(D12&lt;&gt;"","保険年金算出表!J","保険年金算出表!H")&amp;MATCH(G12,保険年金算出表!$F$4:$F$50,1)+4))</f>
        <v/>
      </c>
      <c r="I12" s="104" t="str">
        <f ca="1">IF(B12="","",INDIRECT("保険年金算出表!Ｌ"&amp;MATCH(G12,保険年金算出表!$F$4:$F$50,1)+4))</f>
        <v/>
      </c>
      <c r="J12" s="57"/>
      <c r="K12" s="24"/>
      <c r="L12" s="106" t="str">
        <f>IF(B12="","",IF(ISNA(MATCH($G12,源泉徴収額算出表!$B$4:$B$9,1)),源泉徴収額算出表!$A$4,MATCH($G12,源泉徴収額算出表!$B$4:$B$9,1) + 源泉徴収額算出表!$A$4))</f>
        <v/>
      </c>
      <c r="M12" s="106" t="str">
        <f ca="1">IF(B12="","",IF(L12=源泉徴収額算出表!$A$4,源泉徴収額算出表!$C$4,給与明細情報!X17 * INDIRECT("源泉徴収額算出表!C"&amp; L12) +  INDIRECT("源泉徴収額算出表!D"&amp; L12)))</f>
        <v/>
      </c>
      <c r="N12" s="106" t="str">
        <f>IF(B12="","",源泉徴収額算出表!$C$13 * E12 + 源泉徴収額算出表!$C$14)</f>
        <v/>
      </c>
      <c r="O12" s="106" t="str">
        <f t="shared" si="1"/>
        <v/>
      </c>
      <c r="P12" s="106" t="str">
        <f>IF(B12="","",IF(ISNA(MATCH(O12,源泉徴収額算出表!$B$18:$B$23,1)),源泉徴収額算出表!$A$18,MATCH(O12,源泉徴収額算出表!$B$18:$B$23,1) + 源泉徴収額算出表!$A$18))</f>
        <v/>
      </c>
      <c r="Q12" s="106" t="str">
        <f t="shared" ca="1" si="2"/>
        <v/>
      </c>
    </row>
    <row r="13" spans="2:17">
      <c r="B13" s="17"/>
      <c r="C13" s="17"/>
      <c r="D13" s="35"/>
      <c r="E13" s="35"/>
      <c r="F13" s="102" t="str">
        <f ca="1">IF(B13="","",INDIRECT("保険年金算出表!A"&amp; MATCH(G13,保険年金算出表!$F$4:$F$50,1)+4))</f>
        <v/>
      </c>
      <c r="G13" s="24"/>
      <c r="H13" s="104" t="str">
        <f ca="1">IF(B13="","",INDIRECT(IF(D13&lt;&gt;"","保険年金算出表!J","保険年金算出表!H")&amp;MATCH(G13,保険年金算出表!$F$4:$F$50,1)+4))</f>
        <v/>
      </c>
      <c r="I13" s="104" t="str">
        <f ca="1">IF(B13="","",INDIRECT("保険年金算出表!Ｌ"&amp;MATCH(G13,保険年金算出表!$F$4:$F$50,1)+4))</f>
        <v/>
      </c>
      <c r="J13" s="57"/>
      <c r="K13" s="24"/>
      <c r="L13" s="106" t="str">
        <f>IF(B13="","",IF(ISNA(MATCH($G13,源泉徴収額算出表!$B$4:$B$9,1)),源泉徴収額算出表!$A$4,MATCH($G13,源泉徴収額算出表!$B$4:$B$9,1) + 源泉徴収額算出表!$A$4))</f>
        <v/>
      </c>
      <c r="M13" s="106" t="str">
        <f ca="1">IF(B13="","",IF(L13=源泉徴収額算出表!$A$4,源泉徴収額算出表!$C$4,給与明細情報!X18 * INDIRECT("源泉徴収額算出表!C"&amp; L13) +  INDIRECT("源泉徴収額算出表!D"&amp; L13)))</f>
        <v/>
      </c>
      <c r="N13" s="106" t="str">
        <f>IF(B13="","",源泉徴収額算出表!$C$13 * E13 + 源泉徴収額算出表!$C$14)</f>
        <v/>
      </c>
      <c r="O13" s="106" t="str">
        <f t="shared" si="1"/>
        <v/>
      </c>
      <c r="P13" s="106" t="str">
        <f>IF(B13="","",IF(ISNA(MATCH(O13,源泉徴収額算出表!$B$18:$B$23,1)),源泉徴収額算出表!$A$18,MATCH(O13,源泉徴収額算出表!$B$18:$B$23,1) + 源泉徴収額算出表!$A$18))</f>
        <v/>
      </c>
      <c r="Q13" s="106" t="str">
        <f t="shared" ca="1" si="2"/>
        <v/>
      </c>
    </row>
    <row r="14" spans="2:17">
      <c r="B14" s="17"/>
      <c r="C14" s="17"/>
      <c r="D14" s="35"/>
      <c r="E14" s="35"/>
      <c r="F14" s="102" t="str">
        <f ca="1">IF(B14="","",INDIRECT("保険年金算出表!A"&amp; MATCH(G14,保険年金算出表!$F$4:$F$50,1)+4))</f>
        <v/>
      </c>
      <c r="G14" s="24"/>
      <c r="H14" s="104" t="str">
        <f ca="1">IF(B14="","",INDIRECT(IF(D14&lt;&gt;"","保険年金算出表!J","保険年金算出表!H")&amp;MATCH(G14,保険年金算出表!$F$4:$F$50,1)+4))</f>
        <v/>
      </c>
      <c r="I14" s="104" t="str">
        <f ca="1">IF(B14="","",INDIRECT("保険年金算出表!Ｌ"&amp;MATCH(G14,保険年金算出表!$F$4:$F$50,1)+4))</f>
        <v/>
      </c>
      <c r="J14" s="57"/>
      <c r="K14" s="24"/>
      <c r="L14" s="106" t="str">
        <f>IF(B14="","",IF(ISNA(MATCH($G14,源泉徴収額算出表!$B$4:$B$9,1)),源泉徴収額算出表!$A$4,MATCH($G14,源泉徴収額算出表!$B$4:$B$9,1) + 源泉徴収額算出表!$A$4))</f>
        <v/>
      </c>
      <c r="M14" s="106" t="str">
        <f ca="1">IF(B14="","",IF(L14=源泉徴収額算出表!$A$4,源泉徴収額算出表!$C$4,給与明細情報!X19 * INDIRECT("源泉徴収額算出表!C"&amp; L14) +  INDIRECT("源泉徴収額算出表!D"&amp; L14)))</f>
        <v/>
      </c>
      <c r="N14" s="106" t="str">
        <f>IF(B14="","",源泉徴収額算出表!$C$13 * E14 + 源泉徴収額算出表!$C$14)</f>
        <v/>
      </c>
      <c r="O14" s="106" t="str">
        <f t="shared" si="1"/>
        <v/>
      </c>
      <c r="P14" s="106" t="str">
        <f>IF(B14="","",IF(ISNA(MATCH(O14,源泉徴収額算出表!$B$18:$B$23,1)),源泉徴収額算出表!$A$18,MATCH(O14,源泉徴収額算出表!$B$18:$B$23,1) + 源泉徴収額算出表!$A$18))</f>
        <v/>
      </c>
      <c r="Q14" s="106" t="str">
        <f t="shared" ca="1" si="2"/>
        <v/>
      </c>
    </row>
    <row r="15" spans="2:17">
      <c r="B15" s="17"/>
      <c r="C15" s="17"/>
      <c r="D15" s="35"/>
      <c r="E15" s="35"/>
      <c r="F15" s="102" t="str">
        <f ca="1">IF(B15="","",INDIRECT("保険年金算出表!A"&amp; MATCH(G15,保険年金算出表!$F$4:$F$50,1)+4))</f>
        <v/>
      </c>
      <c r="G15" s="24"/>
      <c r="H15" s="104" t="str">
        <f ca="1">IF(B15="","",INDIRECT(IF(D15&lt;&gt;"","保険年金算出表!J","保険年金算出表!H")&amp;MATCH(G15,保険年金算出表!$F$4:$F$50,1)+4))</f>
        <v/>
      </c>
      <c r="I15" s="104" t="str">
        <f ca="1">IF(B15="","",INDIRECT("保険年金算出表!Ｌ"&amp;MATCH(G15,保険年金算出表!$F$4:$F$50,1)+4))</f>
        <v/>
      </c>
      <c r="J15" s="57"/>
      <c r="K15" s="24"/>
      <c r="L15" s="106" t="str">
        <f>IF(B15="","",IF(ISNA(MATCH($G15,源泉徴収額算出表!$B$4:$B$9,1)),源泉徴収額算出表!$A$4,MATCH($G15,源泉徴収額算出表!$B$4:$B$9,1) + 源泉徴収額算出表!$A$4))</f>
        <v/>
      </c>
      <c r="M15" s="106" t="str">
        <f ca="1">IF(B15="","",IF(L15=源泉徴収額算出表!$A$4,源泉徴収額算出表!$C$4,給与明細情報!X20 * INDIRECT("源泉徴収額算出表!C"&amp; L15) +  INDIRECT("源泉徴収額算出表!D"&amp; L15)))</f>
        <v/>
      </c>
      <c r="N15" s="106" t="str">
        <f>IF(B15="","",源泉徴収額算出表!$C$13 * E15 + 源泉徴収額算出表!$C$14)</f>
        <v/>
      </c>
      <c r="O15" s="106" t="str">
        <f t="shared" si="1"/>
        <v/>
      </c>
      <c r="P15" s="106" t="str">
        <f>IF(B15="","",IF(ISNA(MATCH(O15,源泉徴収額算出表!$B$18:$B$23,1)),源泉徴収額算出表!$A$18,MATCH(O15,源泉徴収額算出表!$B$18:$B$23,1) + 源泉徴収額算出表!$A$18))</f>
        <v/>
      </c>
      <c r="Q15" s="106" t="str">
        <f t="shared" ca="1" si="2"/>
        <v/>
      </c>
    </row>
    <row r="16" spans="2:17">
      <c r="B16" s="17"/>
      <c r="C16" s="17"/>
      <c r="D16" s="35"/>
      <c r="E16" s="35"/>
      <c r="F16" s="102" t="str">
        <f ca="1">IF(B16="","",INDIRECT("保険年金算出表!A"&amp; MATCH(G16,保険年金算出表!$F$4:$F$50,1)+4))</f>
        <v/>
      </c>
      <c r="G16" s="24"/>
      <c r="H16" s="104" t="str">
        <f ca="1">IF(B16="","",INDIRECT(IF(D16&lt;&gt;"","保険年金算出表!J","保険年金算出表!H")&amp;MATCH(G16,保険年金算出表!$F$4:$F$50,1)+4))</f>
        <v/>
      </c>
      <c r="I16" s="104" t="str">
        <f ca="1">IF(B16="","",INDIRECT("保険年金算出表!Ｌ"&amp;MATCH(G16,保険年金算出表!$F$4:$F$50,1)+4))</f>
        <v/>
      </c>
      <c r="J16" s="57"/>
      <c r="K16" s="24"/>
      <c r="L16" s="106" t="str">
        <f>IF(B16="","",IF(ISNA(MATCH($G16,源泉徴収額算出表!$B$4:$B$9,1)),源泉徴収額算出表!$A$4,MATCH($G16,源泉徴収額算出表!$B$4:$B$9,1) + 源泉徴収額算出表!$A$4))</f>
        <v/>
      </c>
      <c r="M16" s="106" t="str">
        <f ca="1">IF(B16="","",IF(L16=源泉徴収額算出表!$A$4,源泉徴収額算出表!$C$4,給与明細情報!X21 * INDIRECT("源泉徴収額算出表!C"&amp; L16) +  INDIRECT("源泉徴収額算出表!D"&amp; L16)))</f>
        <v/>
      </c>
      <c r="N16" s="106" t="str">
        <f>IF(B16="","",源泉徴収額算出表!$C$13 * E16 + 源泉徴収額算出表!$C$14)</f>
        <v/>
      </c>
      <c r="O16" s="106" t="str">
        <f t="shared" si="1"/>
        <v/>
      </c>
      <c r="P16" s="106" t="str">
        <f>IF(B16="","",IF(ISNA(MATCH(O16,源泉徴収額算出表!$B$18:$B$23,1)),源泉徴収額算出表!$A$18,MATCH(O16,源泉徴収額算出表!$B$18:$B$23,1) + 源泉徴収額算出表!$A$18))</f>
        <v/>
      </c>
      <c r="Q16" s="106" t="str">
        <f t="shared" ca="1" si="2"/>
        <v/>
      </c>
    </row>
    <row r="17" spans="2:17">
      <c r="B17" s="17"/>
      <c r="C17" s="17"/>
      <c r="D17" s="35"/>
      <c r="E17" s="35"/>
      <c r="F17" s="102" t="str">
        <f ca="1">IF(B17="","",INDIRECT("保険年金算出表!A"&amp; MATCH(G17,保険年金算出表!$F$4:$F$50,1)+4))</f>
        <v/>
      </c>
      <c r="G17" s="24"/>
      <c r="H17" s="104" t="str">
        <f ca="1">IF(B17="","",INDIRECT(IF(D17&lt;&gt;"","保険年金算出表!J","保険年金算出表!H")&amp;MATCH(G17,保険年金算出表!$F$4:$F$50,1)+4))</f>
        <v/>
      </c>
      <c r="I17" s="104" t="str">
        <f ca="1">IF(B17="","",INDIRECT("保険年金算出表!Ｌ"&amp;MATCH(G17,保険年金算出表!$F$4:$F$50,1)+4))</f>
        <v/>
      </c>
      <c r="J17" s="57"/>
      <c r="K17" s="24"/>
      <c r="L17" s="106" t="str">
        <f>IF(B17="","",IF(ISNA(MATCH($G17,源泉徴収額算出表!$B$4:$B$9,1)),源泉徴収額算出表!$A$4,MATCH($G17,源泉徴収額算出表!$B$4:$B$9,1) + 源泉徴収額算出表!$A$4))</f>
        <v/>
      </c>
      <c r="M17" s="106" t="str">
        <f ca="1">IF(B17="","",IF(L17=源泉徴収額算出表!$A$4,源泉徴収額算出表!$C$4,給与明細情報!X22 * INDIRECT("源泉徴収額算出表!C"&amp; L17) +  INDIRECT("源泉徴収額算出表!D"&amp; L17)))</f>
        <v/>
      </c>
      <c r="N17" s="106" t="str">
        <f>IF(B17="","",源泉徴収額算出表!$C$13 * E17 + 源泉徴収額算出表!$C$14)</f>
        <v/>
      </c>
      <c r="O17" s="106" t="str">
        <f t="shared" si="1"/>
        <v/>
      </c>
      <c r="P17" s="106" t="str">
        <f>IF(B17="","",IF(ISNA(MATCH(O17,源泉徴収額算出表!$B$18:$B$23,1)),源泉徴収額算出表!$A$18,MATCH(O17,源泉徴収額算出表!$B$18:$B$23,1) + 源泉徴収額算出表!$A$18))</f>
        <v/>
      </c>
      <c r="Q17" s="106" t="str">
        <f t="shared" ca="1" si="2"/>
        <v/>
      </c>
    </row>
    <row r="18" spans="2:17">
      <c r="B18" s="17"/>
      <c r="C18" s="17"/>
      <c r="D18" s="35"/>
      <c r="E18" s="35"/>
      <c r="F18" s="102" t="str">
        <f ca="1">IF(B18="","",INDIRECT("保険年金算出表!A"&amp; MATCH(G18,保険年金算出表!$F$4:$F$50,1)+4))</f>
        <v/>
      </c>
      <c r="G18" s="24"/>
      <c r="H18" s="104" t="str">
        <f ca="1">IF(B18="","",INDIRECT(IF(D18&lt;&gt;"","保険年金算出表!J","保険年金算出表!H")&amp;MATCH(G18,保険年金算出表!$F$4:$F$50,1)+4))</f>
        <v/>
      </c>
      <c r="I18" s="104" t="str">
        <f ca="1">IF(B18="","",INDIRECT("保険年金算出表!Ｌ"&amp;MATCH(G18,保険年金算出表!$F$4:$F$50,1)+4))</f>
        <v/>
      </c>
      <c r="J18" s="57"/>
      <c r="K18" s="24"/>
      <c r="L18" s="106" t="str">
        <f>IF(B18="","",IF(ISNA(MATCH($G18,源泉徴収額算出表!$B$4:$B$9,1)),源泉徴収額算出表!$A$4,MATCH($G18,源泉徴収額算出表!$B$4:$B$9,1) + 源泉徴収額算出表!$A$4))</f>
        <v/>
      </c>
      <c r="M18" s="106" t="str">
        <f ca="1">IF(B18="","",IF(L18=源泉徴収額算出表!$A$4,源泉徴収額算出表!$C$4,給与明細情報!X23 * INDIRECT("源泉徴収額算出表!C"&amp; L18) +  INDIRECT("源泉徴収額算出表!D"&amp; L18)))</f>
        <v/>
      </c>
      <c r="N18" s="106" t="str">
        <f>IF(B18="","",源泉徴収額算出表!$C$13 * E18 + 源泉徴収額算出表!$C$14)</f>
        <v/>
      </c>
      <c r="O18" s="106" t="str">
        <f t="shared" si="1"/>
        <v/>
      </c>
      <c r="P18" s="106" t="str">
        <f>IF(B18="","",IF(ISNA(MATCH(O18,源泉徴収額算出表!$B$18:$B$23,1)),源泉徴収額算出表!$A$18,MATCH(O18,源泉徴収額算出表!$B$18:$B$23,1) + 源泉徴収額算出表!$A$18))</f>
        <v/>
      </c>
      <c r="Q18" s="106" t="str">
        <f t="shared" ca="1" si="2"/>
        <v/>
      </c>
    </row>
    <row r="19" spans="2:17">
      <c r="B19" s="17"/>
      <c r="C19" s="17"/>
      <c r="D19" s="35"/>
      <c r="E19" s="35"/>
      <c r="F19" s="102" t="str">
        <f ca="1">IF(B19="","",INDIRECT("保険年金算出表!A"&amp; MATCH(G19,保険年金算出表!$F$4:$F$50,1)+4))</f>
        <v/>
      </c>
      <c r="G19" s="24"/>
      <c r="H19" s="104" t="str">
        <f ca="1">IF(B19="","",INDIRECT(IF(D19&lt;&gt;"","保険年金算出表!J","保険年金算出表!H")&amp;MATCH(G19,保険年金算出表!$F$4:$F$50,1)+4))</f>
        <v/>
      </c>
      <c r="I19" s="104" t="str">
        <f ca="1">IF(B19="","",INDIRECT("保険年金算出表!Ｌ"&amp;MATCH(G19,保険年金算出表!$F$4:$F$50,1)+4))</f>
        <v/>
      </c>
      <c r="J19" s="57"/>
      <c r="K19" s="24"/>
      <c r="L19" s="106" t="str">
        <f>IF(B19="","",IF(ISNA(MATCH($G19,源泉徴収額算出表!$B$4:$B$9,1)),源泉徴収額算出表!$A$4,MATCH($G19,源泉徴収額算出表!$B$4:$B$9,1) + 源泉徴収額算出表!$A$4))</f>
        <v/>
      </c>
      <c r="M19" s="106" t="str">
        <f ca="1">IF(B19="","",IF(L19=源泉徴収額算出表!$A$4,源泉徴収額算出表!$C$4,給与明細情報!X24 * INDIRECT("源泉徴収額算出表!C"&amp; L19) +  INDIRECT("源泉徴収額算出表!D"&amp; L19)))</f>
        <v/>
      </c>
      <c r="N19" s="106" t="str">
        <f>IF(B19="","",源泉徴収額算出表!$C$13 * E19 + 源泉徴収額算出表!$C$14)</f>
        <v/>
      </c>
      <c r="O19" s="106" t="str">
        <f t="shared" si="1"/>
        <v/>
      </c>
      <c r="P19" s="106" t="str">
        <f>IF(B19="","",IF(ISNA(MATCH(O19,源泉徴収額算出表!$B$18:$B$23,1)),源泉徴収額算出表!$A$18,MATCH(O19,源泉徴収額算出表!$B$18:$B$23,1) + 源泉徴収額算出表!$A$18))</f>
        <v/>
      </c>
      <c r="Q19" s="106" t="str">
        <f t="shared" ca="1" si="2"/>
        <v/>
      </c>
    </row>
    <row r="20" spans="2:17">
      <c r="B20" s="17"/>
      <c r="C20" s="17"/>
      <c r="D20" s="35"/>
      <c r="E20" s="35"/>
      <c r="F20" s="102" t="str">
        <f ca="1">IF(B20="","",INDIRECT("保険年金算出表!A"&amp; MATCH(G20,保険年金算出表!$F$4:$F$50,1)+4))</f>
        <v/>
      </c>
      <c r="G20" s="24"/>
      <c r="H20" s="104" t="str">
        <f ca="1">IF(B20="","",INDIRECT(IF(D20&lt;&gt;"","保険年金算出表!J","保険年金算出表!H")&amp;MATCH(G20,保険年金算出表!$F$4:$F$50,1)+4))</f>
        <v/>
      </c>
      <c r="I20" s="104" t="str">
        <f ca="1">IF(B20="","",INDIRECT("保険年金算出表!Ｌ"&amp;MATCH(G20,保険年金算出表!$F$4:$F$50,1)+4))</f>
        <v/>
      </c>
      <c r="J20" s="57"/>
      <c r="K20" s="24"/>
      <c r="L20" s="106" t="str">
        <f>IF(B20="","",IF(ISNA(MATCH($G20,源泉徴収額算出表!$B$4:$B$9,1)),源泉徴収額算出表!$A$4,MATCH($G20,源泉徴収額算出表!$B$4:$B$9,1) + 源泉徴収額算出表!$A$4))</f>
        <v/>
      </c>
      <c r="M20" s="106" t="str">
        <f ca="1">IF(B20="","",IF(L20=源泉徴収額算出表!$A$4,源泉徴収額算出表!$C$4,給与明細情報!X25 * INDIRECT("源泉徴収額算出表!C"&amp; L20) +  INDIRECT("源泉徴収額算出表!D"&amp; L20)))</f>
        <v/>
      </c>
      <c r="N20" s="106" t="str">
        <f>IF(B20="","",源泉徴収額算出表!$C$13 * E20 + 源泉徴収額算出表!$C$14)</f>
        <v/>
      </c>
      <c r="O20" s="106" t="str">
        <f t="shared" si="1"/>
        <v/>
      </c>
      <c r="P20" s="106" t="str">
        <f>IF(B20="","",IF(ISNA(MATCH(O20,源泉徴収額算出表!$B$18:$B$23,1)),源泉徴収額算出表!$A$18,MATCH(O20,源泉徴収額算出表!$B$18:$B$23,1) + 源泉徴収額算出表!$A$18))</f>
        <v/>
      </c>
      <c r="Q20" s="106" t="str">
        <f t="shared" ca="1" si="2"/>
        <v/>
      </c>
    </row>
    <row r="21" spans="2:17">
      <c r="B21" s="17"/>
      <c r="C21" s="17"/>
      <c r="D21" s="35"/>
      <c r="E21" s="35"/>
      <c r="F21" s="102" t="str">
        <f ca="1">IF(B21="","",INDIRECT("保険年金算出表!A"&amp; MATCH(G21,保険年金算出表!$F$4:$F$50,1)+4))</f>
        <v/>
      </c>
      <c r="G21" s="24"/>
      <c r="H21" s="104" t="str">
        <f ca="1">IF(B21="","",INDIRECT(IF(D21&lt;&gt;"","保険年金算出表!J","保険年金算出表!H")&amp;MATCH(G21,保険年金算出表!$F$4:$F$50,1)+4))</f>
        <v/>
      </c>
      <c r="I21" s="104" t="str">
        <f ca="1">IF(B21="","",INDIRECT("保険年金算出表!Ｌ"&amp;MATCH(G21,保険年金算出表!$F$4:$F$50,1)+4))</f>
        <v/>
      </c>
      <c r="J21" s="57"/>
      <c r="K21" s="24"/>
      <c r="L21" s="106" t="str">
        <f>IF(B21="","",IF(ISNA(MATCH($G21,源泉徴収額算出表!$B$4:$B$9,1)),源泉徴収額算出表!$A$4,MATCH($G21,源泉徴収額算出表!$B$4:$B$9,1) + 源泉徴収額算出表!$A$4))</f>
        <v/>
      </c>
      <c r="M21" s="106" t="str">
        <f ca="1">IF(B21="","",IF(L21=源泉徴収額算出表!$A$4,源泉徴収額算出表!$C$4,給与明細情報!X26 * INDIRECT("源泉徴収額算出表!C"&amp; L21) +  INDIRECT("源泉徴収額算出表!D"&amp; L21)))</f>
        <v/>
      </c>
      <c r="N21" s="106" t="str">
        <f>IF(B21="","",源泉徴収額算出表!$C$13 * E21 + 源泉徴収額算出表!$C$14)</f>
        <v/>
      </c>
      <c r="O21" s="106" t="str">
        <f t="shared" si="1"/>
        <v/>
      </c>
      <c r="P21" s="106" t="str">
        <f>IF(B21="","",IF(ISNA(MATCH(O21,源泉徴収額算出表!$B$18:$B$23,1)),源泉徴収額算出表!$A$18,MATCH(O21,源泉徴収額算出表!$B$18:$B$23,1) + 源泉徴収額算出表!$A$18))</f>
        <v/>
      </c>
      <c r="Q21" s="106" t="str">
        <f t="shared" ca="1" si="2"/>
        <v/>
      </c>
    </row>
    <row r="22" spans="2:17">
      <c r="B22" s="17"/>
      <c r="C22" s="17"/>
      <c r="D22" s="35"/>
      <c r="E22" s="35"/>
      <c r="F22" s="102" t="str">
        <f ca="1">IF(B22="","",INDIRECT("保険年金算出表!A"&amp; MATCH(G22,保険年金算出表!$F$4:$F$50,1)+4))</f>
        <v/>
      </c>
      <c r="G22" s="24"/>
      <c r="H22" s="104" t="str">
        <f ca="1">IF(B22="","",INDIRECT(IF(D22&lt;&gt;"","保険年金算出表!J","保険年金算出表!H")&amp;MATCH(G22,保険年金算出表!$F$4:$F$50,1)+4))</f>
        <v/>
      </c>
      <c r="I22" s="104" t="str">
        <f ca="1">IF(B22="","",INDIRECT("保険年金算出表!Ｌ"&amp;MATCH(G22,保険年金算出表!$F$4:$F$50,1)+4))</f>
        <v/>
      </c>
      <c r="J22" s="57"/>
      <c r="K22" s="24"/>
      <c r="L22" s="106" t="str">
        <f>IF(B22="","",IF(ISNA(MATCH($G22,源泉徴収額算出表!$B$4:$B$9,1)),源泉徴収額算出表!$A$4,MATCH($G22,源泉徴収額算出表!$B$4:$B$9,1) + 源泉徴収額算出表!$A$4))</f>
        <v/>
      </c>
      <c r="M22" s="106" t="str">
        <f ca="1">IF(B22="","",IF(L22=源泉徴収額算出表!$A$4,源泉徴収額算出表!$C$4,給与明細情報!X27 * INDIRECT("源泉徴収額算出表!C"&amp; L22) +  INDIRECT("源泉徴収額算出表!D"&amp; L22)))</f>
        <v/>
      </c>
      <c r="N22" s="106" t="str">
        <f>IF(B22="","",源泉徴収額算出表!$C$13 * E22 + 源泉徴収額算出表!$C$14)</f>
        <v/>
      </c>
      <c r="O22" s="106" t="str">
        <f t="shared" si="1"/>
        <v/>
      </c>
      <c r="P22" s="106" t="str">
        <f>IF(B22="","",IF(ISNA(MATCH(O22,源泉徴収額算出表!$B$18:$B$23,1)),源泉徴収額算出表!$A$18,MATCH(O22,源泉徴収額算出表!$B$18:$B$23,1) + 源泉徴収額算出表!$A$18))</f>
        <v/>
      </c>
      <c r="Q22" s="106" t="str">
        <f t="shared" ca="1" si="2"/>
        <v/>
      </c>
    </row>
    <row r="23" spans="2:17">
      <c r="B23" s="17"/>
      <c r="C23" s="17"/>
      <c r="D23" s="35"/>
      <c r="E23" s="35"/>
      <c r="F23" s="102" t="str">
        <f ca="1">IF(B23="","",INDIRECT("保険年金算出表!A"&amp; MATCH(G23,保険年金算出表!$F$4:$F$50,1)+4))</f>
        <v/>
      </c>
      <c r="G23" s="24"/>
      <c r="H23" s="104" t="str">
        <f ca="1">IF(B23="","",INDIRECT(IF(D23&lt;&gt;"","保険年金算出表!J","保険年金算出表!H")&amp;MATCH(G23,保険年金算出表!$F$4:$F$50,1)+4))</f>
        <v/>
      </c>
      <c r="I23" s="104" t="str">
        <f ca="1">IF(B23="","",INDIRECT("保険年金算出表!Ｌ"&amp;MATCH(G23,保険年金算出表!$F$4:$F$50,1)+4))</f>
        <v/>
      </c>
      <c r="J23" s="57"/>
      <c r="K23" s="24"/>
      <c r="L23" s="106" t="str">
        <f>IF(B23="","",IF(ISNA(MATCH($G23,源泉徴収額算出表!$B$4:$B$9,1)),源泉徴収額算出表!$A$4,MATCH($G23,源泉徴収額算出表!$B$4:$B$9,1) + 源泉徴収額算出表!$A$4))</f>
        <v/>
      </c>
      <c r="M23" s="106" t="str">
        <f ca="1">IF(B23="","",IF(L23=源泉徴収額算出表!$A$4,源泉徴収額算出表!$C$4,給与明細情報!X28 * INDIRECT("源泉徴収額算出表!C"&amp; L23) +  INDIRECT("源泉徴収額算出表!D"&amp; L23)))</f>
        <v/>
      </c>
      <c r="N23" s="106" t="str">
        <f>IF(B23="","",源泉徴収額算出表!$C$13 * E23 + 源泉徴収額算出表!$C$14)</f>
        <v/>
      </c>
      <c r="O23" s="106" t="str">
        <f t="shared" si="1"/>
        <v/>
      </c>
      <c r="P23" s="106" t="str">
        <f>IF(B23="","",IF(ISNA(MATCH(O23,源泉徴収額算出表!$B$18:$B$23,1)),源泉徴収額算出表!$A$18,MATCH(O23,源泉徴収額算出表!$B$18:$B$23,1) + 源泉徴収額算出表!$A$18))</f>
        <v/>
      </c>
      <c r="Q23" s="106" t="str">
        <f t="shared" ca="1" si="2"/>
        <v/>
      </c>
    </row>
    <row r="24" spans="2:17">
      <c r="B24" s="17"/>
      <c r="C24" s="17"/>
      <c r="D24" s="35"/>
      <c r="E24" s="35"/>
      <c r="F24" s="102" t="str">
        <f ca="1">IF(B24="","",INDIRECT("保険年金算出表!A"&amp; MATCH(G24,保険年金算出表!$F$4:$F$50,1)+4))</f>
        <v/>
      </c>
      <c r="G24" s="24"/>
      <c r="H24" s="104" t="str">
        <f ca="1">IF(B24="","",INDIRECT(IF(D24&lt;&gt;"","保険年金算出表!J","保険年金算出表!H")&amp;MATCH(G24,保険年金算出表!$F$4:$F$50,1)+4))</f>
        <v/>
      </c>
      <c r="I24" s="104" t="str">
        <f ca="1">IF(B24="","",INDIRECT("保険年金算出表!Ｌ"&amp;MATCH(G24,保険年金算出表!$F$4:$F$50,1)+4))</f>
        <v/>
      </c>
      <c r="J24" s="57"/>
      <c r="K24" s="24"/>
      <c r="L24" s="106" t="str">
        <f>IF(B24="","",IF(ISNA(MATCH($G24,源泉徴収額算出表!$B$4:$B$9,1)),源泉徴収額算出表!$A$4,MATCH($G24,源泉徴収額算出表!$B$4:$B$9,1) + 源泉徴収額算出表!$A$4))</f>
        <v/>
      </c>
      <c r="M24" s="106" t="str">
        <f ca="1">IF(B24="","",IF(L24=源泉徴収額算出表!$A$4,源泉徴収額算出表!$C$4,給与明細情報!X29 * INDIRECT("源泉徴収額算出表!C"&amp; L24) +  INDIRECT("源泉徴収額算出表!D"&amp; L24)))</f>
        <v/>
      </c>
      <c r="N24" s="106" t="str">
        <f>IF(B24="","",源泉徴収額算出表!$C$13 * E24 + 源泉徴収額算出表!$C$14)</f>
        <v/>
      </c>
      <c r="O24" s="106" t="str">
        <f t="shared" si="1"/>
        <v/>
      </c>
      <c r="P24" s="106" t="str">
        <f>IF(B24="","",IF(ISNA(MATCH(O24,源泉徴収額算出表!$B$18:$B$23,1)),源泉徴収額算出表!$A$18,MATCH(O24,源泉徴収額算出表!$B$18:$B$23,1) + 源泉徴収額算出表!$A$18))</f>
        <v/>
      </c>
      <c r="Q24" s="106" t="str">
        <f t="shared" ca="1" si="2"/>
        <v/>
      </c>
    </row>
    <row r="25" spans="2:17">
      <c r="B25" s="17"/>
      <c r="C25" s="17"/>
      <c r="D25" s="35"/>
      <c r="E25" s="35"/>
      <c r="F25" s="102" t="str">
        <f ca="1">IF(B25="","",INDIRECT("保険年金算出表!A"&amp; MATCH(G25,保険年金算出表!$F$4:$F$50,1)+4))</f>
        <v/>
      </c>
      <c r="G25" s="24"/>
      <c r="H25" s="104" t="str">
        <f ca="1">IF(B25="","",INDIRECT(IF(D25&lt;&gt;"","保険年金算出表!J","保険年金算出表!H")&amp;MATCH(G25,保険年金算出表!$F$4:$F$50,1)+4))</f>
        <v/>
      </c>
      <c r="I25" s="104" t="str">
        <f ca="1">IF(B25="","",INDIRECT("保険年金算出表!Ｌ"&amp;MATCH(G25,保険年金算出表!$F$4:$F$50,1)+4))</f>
        <v/>
      </c>
      <c r="J25" s="57"/>
      <c r="K25" s="24"/>
      <c r="L25" s="106" t="str">
        <f>IF(B25="","",IF(ISNA(MATCH($G25,源泉徴収額算出表!$B$4:$B$9,1)),源泉徴収額算出表!$A$4,MATCH($G25,源泉徴収額算出表!$B$4:$B$9,1) + 源泉徴収額算出表!$A$4))</f>
        <v/>
      </c>
      <c r="M25" s="106" t="str">
        <f ca="1">IF(B25="","",IF(L25=源泉徴収額算出表!$A$4,源泉徴収額算出表!$C$4,給与明細情報!X30 * INDIRECT("源泉徴収額算出表!C"&amp; L25) +  INDIRECT("源泉徴収額算出表!D"&amp; L25)))</f>
        <v/>
      </c>
      <c r="N25" s="106" t="str">
        <f>IF(B25="","",源泉徴収額算出表!$C$13 * E25 + 源泉徴収額算出表!$C$14)</f>
        <v/>
      </c>
      <c r="O25" s="106" t="str">
        <f t="shared" si="1"/>
        <v/>
      </c>
      <c r="P25" s="106" t="str">
        <f>IF(B25="","",IF(ISNA(MATCH(O25,源泉徴収額算出表!$B$18:$B$23,1)),源泉徴収額算出表!$A$18,MATCH(O25,源泉徴収額算出表!$B$18:$B$23,1) + 源泉徴収額算出表!$A$18))</f>
        <v/>
      </c>
      <c r="Q25" s="106" t="str">
        <f t="shared" ca="1" si="2"/>
        <v/>
      </c>
    </row>
    <row r="26" spans="2:17">
      <c r="B26" s="17"/>
      <c r="C26" s="17"/>
      <c r="D26" s="35"/>
      <c r="E26" s="35"/>
      <c r="F26" s="102" t="str">
        <f ca="1">IF(B26="","",INDIRECT("保険年金算出表!A"&amp; MATCH(G26,保険年金算出表!$F$4:$F$50,1)+4))</f>
        <v/>
      </c>
      <c r="G26" s="24"/>
      <c r="H26" s="104" t="str">
        <f ca="1">IF(B26="","",INDIRECT(IF(D26&lt;&gt;"","保険年金算出表!J","保険年金算出表!H")&amp;MATCH(G26,保険年金算出表!$F$4:$F$50,1)+4))</f>
        <v/>
      </c>
      <c r="I26" s="104" t="str">
        <f ca="1">IF(B26="","",INDIRECT("保険年金算出表!Ｌ"&amp;MATCH(G26,保険年金算出表!$F$4:$F$50,1)+4))</f>
        <v/>
      </c>
      <c r="J26" s="57"/>
      <c r="K26" s="24"/>
      <c r="L26" s="106" t="str">
        <f>IF(B26="","",IF(ISNA(MATCH($G26,源泉徴収額算出表!$B$4:$B$9,1)),源泉徴収額算出表!$A$4,MATCH($G26,源泉徴収額算出表!$B$4:$B$9,1) + 源泉徴収額算出表!$A$4))</f>
        <v/>
      </c>
      <c r="M26" s="106" t="str">
        <f ca="1">IF(B26="","",IF(L26=源泉徴収額算出表!$A$4,源泉徴収額算出表!$C$4,給与明細情報!X31 * INDIRECT("源泉徴収額算出表!C"&amp; L26) +  INDIRECT("源泉徴収額算出表!D"&amp; L26)))</f>
        <v/>
      </c>
      <c r="N26" s="106" t="str">
        <f>IF(B26="","",源泉徴収額算出表!$C$13 * E26 + 源泉徴収額算出表!$C$14)</f>
        <v/>
      </c>
      <c r="O26" s="106" t="str">
        <f t="shared" si="1"/>
        <v/>
      </c>
      <c r="P26" s="106" t="str">
        <f>IF(B26="","",IF(ISNA(MATCH(O26,源泉徴収額算出表!$B$18:$B$23,1)),源泉徴収額算出表!$A$18,MATCH(O26,源泉徴収額算出表!$B$18:$B$23,1) + 源泉徴収額算出表!$A$18))</f>
        <v/>
      </c>
      <c r="Q26" s="106" t="str">
        <f t="shared" ca="1" si="2"/>
        <v/>
      </c>
    </row>
    <row r="27" spans="2:17">
      <c r="B27" s="17"/>
      <c r="C27" s="17"/>
      <c r="D27" s="35"/>
      <c r="E27" s="35"/>
      <c r="F27" s="102" t="str">
        <f ca="1">IF(B27="","",INDIRECT("保険年金算出表!A"&amp; MATCH(G27,保険年金算出表!$F$4:$F$50,1)+4))</f>
        <v/>
      </c>
      <c r="G27" s="24"/>
      <c r="H27" s="104" t="str">
        <f ca="1">IF(B27="","",INDIRECT(IF(D27&lt;&gt;"","保険年金算出表!J","保険年金算出表!H")&amp;MATCH(G27,保険年金算出表!$F$4:$F$50,1)+4))</f>
        <v/>
      </c>
      <c r="I27" s="104" t="str">
        <f ca="1">IF(B27="","",INDIRECT("保険年金算出表!Ｌ"&amp;MATCH(G27,保険年金算出表!$F$4:$F$50,1)+4))</f>
        <v/>
      </c>
      <c r="J27" s="57"/>
      <c r="K27" s="24"/>
      <c r="L27" s="106" t="str">
        <f>IF(B27="","",IF(ISNA(MATCH($G27,源泉徴収額算出表!$B$4:$B$9,1)),源泉徴収額算出表!$A$4,MATCH($G27,源泉徴収額算出表!$B$4:$B$9,1) + 源泉徴収額算出表!$A$4))</f>
        <v/>
      </c>
      <c r="M27" s="106" t="str">
        <f ca="1">IF(B27="","",IF(L27=源泉徴収額算出表!$A$4,源泉徴収額算出表!$C$4,給与明細情報!X32 * INDIRECT("源泉徴収額算出表!C"&amp; L27) +  INDIRECT("源泉徴収額算出表!D"&amp; L27)))</f>
        <v/>
      </c>
      <c r="N27" s="106" t="str">
        <f>IF(B27="","",源泉徴収額算出表!$C$13 * E27 + 源泉徴収額算出表!$C$14)</f>
        <v/>
      </c>
      <c r="O27" s="106" t="str">
        <f t="shared" si="1"/>
        <v/>
      </c>
      <c r="P27" s="106" t="str">
        <f>IF(B27="","",IF(ISNA(MATCH(O27,源泉徴収額算出表!$B$18:$B$23,1)),源泉徴収額算出表!$A$18,MATCH(O27,源泉徴収額算出表!$B$18:$B$23,1) + 源泉徴収額算出表!$A$18))</f>
        <v/>
      </c>
      <c r="Q27" s="106" t="str">
        <f t="shared" ca="1" si="2"/>
        <v/>
      </c>
    </row>
    <row r="28" spans="2:17">
      <c r="B28" s="17"/>
      <c r="C28" s="17"/>
      <c r="D28" s="35"/>
      <c r="E28" s="35"/>
      <c r="F28" s="102" t="str">
        <f ca="1">IF(B28="","",INDIRECT("保険年金算出表!A"&amp; MATCH(G28,保険年金算出表!$F$4:$F$50,1)+4))</f>
        <v/>
      </c>
      <c r="G28" s="24"/>
      <c r="H28" s="104" t="str">
        <f ca="1">IF(B28="","",INDIRECT(IF(D28&lt;&gt;"","保険年金算出表!J","保険年金算出表!H")&amp;MATCH(G28,保険年金算出表!$F$4:$F$50,1)+4))</f>
        <v/>
      </c>
      <c r="I28" s="104" t="str">
        <f ca="1">IF(B28="","",INDIRECT("保険年金算出表!Ｌ"&amp;MATCH(G28,保険年金算出表!$F$4:$F$50,1)+4))</f>
        <v/>
      </c>
      <c r="J28" s="57"/>
      <c r="K28" s="24"/>
      <c r="L28" s="106" t="str">
        <f>IF(B28="","",IF(ISNA(MATCH($G28,源泉徴収額算出表!$B$4:$B$9,1)),源泉徴収額算出表!$A$4,MATCH($G28,源泉徴収額算出表!$B$4:$B$9,1) + 源泉徴収額算出表!$A$4))</f>
        <v/>
      </c>
      <c r="M28" s="106" t="str">
        <f ca="1">IF(B28="","",IF(L28=源泉徴収額算出表!$A$4,源泉徴収額算出表!$C$4,給与明細情報!X33 * INDIRECT("源泉徴収額算出表!C"&amp; L28) +  INDIRECT("源泉徴収額算出表!D"&amp; L28)))</f>
        <v/>
      </c>
      <c r="N28" s="106" t="str">
        <f>IF(B28="","",源泉徴収額算出表!$C$13 * E28 + 源泉徴収額算出表!$C$14)</f>
        <v/>
      </c>
      <c r="O28" s="106" t="str">
        <f t="shared" si="1"/>
        <v/>
      </c>
      <c r="P28" s="106" t="str">
        <f>IF(B28="","",IF(ISNA(MATCH(O28,源泉徴収額算出表!$B$18:$B$23,1)),源泉徴収額算出表!$A$18,MATCH(O28,源泉徴収額算出表!$B$18:$B$23,1) + 源泉徴収額算出表!$A$18))</f>
        <v/>
      </c>
      <c r="Q28" s="106" t="str">
        <f t="shared" ca="1" si="2"/>
        <v/>
      </c>
    </row>
    <row r="29" spans="2:17">
      <c r="B29" s="17"/>
      <c r="C29" s="17"/>
      <c r="D29" s="35"/>
      <c r="E29" s="35"/>
      <c r="F29" s="102" t="str">
        <f ca="1">IF(B29="","",INDIRECT("保険年金算出表!A"&amp; MATCH(G29,保険年金算出表!$F$4:$F$50,1)+4))</f>
        <v/>
      </c>
      <c r="G29" s="24"/>
      <c r="H29" s="104" t="str">
        <f ca="1">IF(B29="","",INDIRECT(IF(D29&lt;&gt;"","保険年金算出表!J","保険年金算出表!H")&amp;MATCH(G29,保険年金算出表!$F$4:$F$50,1)+4))</f>
        <v/>
      </c>
      <c r="I29" s="104" t="str">
        <f ca="1">IF(B29="","",INDIRECT("保険年金算出表!Ｌ"&amp;MATCH(G29,保険年金算出表!$F$4:$F$50,1)+4))</f>
        <v/>
      </c>
      <c r="J29" s="57"/>
      <c r="K29" s="24"/>
      <c r="L29" s="106" t="str">
        <f>IF(B29="","",IF(ISNA(MATCH($G29,源泉徴収額算出表!$B$4:$B$9,1)),源泉徴収額算出表!$A$4,MATCH($G29,源泉徴収額算出表!$B$4:$B$9,1) + 源泉徴収額算出表!$A$4))</f>
        <v/>
      </c>
      <c r="M29" s="106" t="str">
        <f ca="1">IF(B29="","",IF(L29=源泉徴収額算出表!$A$4,源泉徴収額算出表!$C$4,給与明細情報!X34 * INDIRECT("源泉徴収額算出表!C"&amp; L29) +  INDIRECT("源泉徴収額算出表!D"&amp; L29)))</f>
        <v/>
      </c>
      <c r="N29" s="106" t="str">
        <f>IF(B29="","",源泉徴収額算出表!$C$13 * E29 + 源泉徴収額算出表!$C$14)</f>
        <v/>
      </c>
      <c r="O29" s="106" t="str">
        <f t="shared" si="1"/>
        <v/>
      </c>
      <c r="P29" s="106" t="str">
        <f>IF(B29="","",IF(ISNA(MATCH(O29,源泉徴収額算出表!$B$18:$B$23,1)),源泉徴収額算出表!$A$18,MATCH(O29,源泉徴収額算出表!$B$18:$B$23,1) + 源泉徴収額算出表!$A$18))</f>
        <v/>
      </c>
      <c r="Q29" s="106" t="str">
        <f t="shared" ca="1" si="2"/>
        <v/>
      </c>
    </row>
    <row r="30" spans="2:17">
      <c r="B30" s="17"/>
      <c r="C30" s="17"/>
      <c r="D30" s="35"/>
      <c r="E30" s="35"/>
      <c r="F30" s="102" t="str">
        <f ca="1">IF(B30="","",INDIRECT("保険年金算出表!A"&amp; MATCH(G30,保険年金算出表!$F$4:$F$50,1)+4))</f>
        <v/>
      </c>
      <c r="G30" s="24"/>
      <c r="H30" s="104" t="str">
        <f ca="1">IF(B30="","",INDIRECT(IF(D30&lt;&gt;"","保険年金算出表!J","保険年金算出表!H")&amp;MATCH(G30,保険年金算出表!$F$4:$F$50,1)+4))</f>
        <v/>
      </c>
      <c r="I30" s="104" t="str">
        <f ca="1">IF(B30="","",INDIRECT("保険年金算出表!Ｌ"&amp;MATCH(G30,保険年金算出表!$F$4:$F$50,1)+4))</f>
        <v/>
      </c>
      <c r="J30" s="57"/>
      <c r="K30" s="24"/>
      <c r="L30" s="106" t="str">
        <f>IF(B30="","",IF(ISNA(MATCH($G30,源泉徴収額算出表!$B$4:$B$9,1)),源泉徴収額算出表!$A$4,MATCH($G30,源泉徴収額算出表!$B$4:$B$9,1) + 源泉徴収額算出表!$A$4))</f>
        <v/>
      </c>
      <c r="M30" s="106" t="str">
        <f ca="1">IF(B30="","",IF(L30=源泉徴収額算出表!$A$4,源泉徴収額算出表!$C$4,給与明細情報!X35 * INDIRECT("源泉徴収額算出表!C"&amp; L30) +  INDIRECT("源泉徴収額算出表!D"&amp; L30)))</f>
        <v/>
      </c>
      <c r="N30" s="106" t="str">
        <f>IF(B30="","",源泉徴収額算出表!$C$13 * E30 + 源泉徴収額算出表!$C$14)</f>
        <v/>
      </c>
      <c r="O30" s="106" t="str">
        <f t="shared" si="1"/>
        <v/>
      </c>
      <c r="P30" s="106" t="str">
        <f>IF(B30="","",IF(ISNA(MATCH(O30,源泉徴収額算出表!$B$18:$B$23,1)),源泉徴収額算出表!$A$18,MATCH(O30,源泉徴収額算出表!$B$18:$B$23,1) + 源泉徴収額算出表!$A$18))</f>
        <v/>
      </c>
      <c r="Q30" s="106" t="str">
        <f t="shared" ca="1" si="2"/>
        <v/>
      </c>
    </row>
    <row r="31" spans="2:17">
      <c r="B31" s="17"/>
      <c r="C31" s="17"/>
      <c r="D31" s="35"/>
      <c r="E31" s="35"/>
      <c r="F31" s="102" t="str">
        <f ca="1">IF(B31="","",INDIRECT("保険年金算出表!A"&amp; MATCH(G31,保険年金算出表!$F$4:$F$50,1)+4))</f>
        <v/>
      </c>
      <c r="G31" s="24"/>
      <c r="H31" s="104" t="str">
        <f ca="1">IF(B31="","",INDIRECT(IF(D31&lt;&gt;"","保険年金算出表!J","保険年金算出表!H")&amp;MATCH(G31,保険年金算出表!$F$4:$F$50,1)+4))</f>
        <v/>
      </c>
      <c r="I31" s="104" t="str">
        <f ca="1">IF(B31="","",INDIRECT("保険年金算出表!Ｌ"&amp;MATCH(G31,保険年金算出表!$F$4:$F$50,1)+4))</f>
        <v/>
      </c>
      <c r="J31" s="57"/>
      <c r="K31" s="24"/>
      <c r="L31" s="106" t="str">
        <f>IF(B31="","",IF(ISNA(MATCH($G31,源泉徴収額算出表!$B$4:$B$9,1)),源泉徴収額算出表!$A$4,MATCH($G31,源泉徴収額算出表!$B$4:$B$9,1) + 源泉徴収額算出表!$A$4))</f>
        <v/>
      </c>
      <c r="M31" s="106" t="str">
        <f ca="1">IF(B31="","",IF(L31=源泉徴収額算出表!$A$4,源泉徴収額算出表!$C$4,給与明細情報!X36 * INDIRECT("源泉徴収額算出表!C"&amp; L31) +  INDIRECT("源泉徴収額算出表!D"&amp; L31)))</f>
        <v/>
      </c>
      <c r="N31" s="106" t="str">
        <f>IF(B31="","",源泉徴収額算出表!$C$13 * E31 + 源泉徴収額算出表!$C$14)</f>
        <v/>
      </c>
      <c r="O31" s="106" t="str">
        <f t="shared" si="1"/>
        <v/>
      </c>
      <c r="P31" s="106" t="str">
        <f>IF(B31="","",IF(ISNA(MATCH(O31,源泉徴収額算出表!$B$18:$B$23,1)),源泉徴収額算出表!$A$18,MATCH(O31,源泉徴収額算出表!$B$18:$B$23,1) + 源泉徴収額算出表!$A$18))</f>
        <v/>
      </c>
      <c r="Q31" s="106" t="str">
        <f t="shared" ca="1" si="2"/>
        <v/>
      </c>
    </row>
    <row r="32" spans="2:17">
      <c r="B32" s="17"/>
      <c r="C32" s="17"/>
      <c r="D32" s="35"/>
      <c r="E32" s="35"/>
      <c r="F32" s="102" t="str">
        <f ca="1">IF(B32="","",INDIRECT("保険年金算出表!A"&amp; MATCH(G32,保険年金算出表!$F$4:$F$50,1)+4))</f>
        <v/>
      </c>
      <c r="G32" s="24"/>
      <c r="H32" s="104" t="str">
        <f ca="1">IF(B32="","",INDIRECT(IF(D32&lt;&gt;"","保険年金算出表!J","保険年金算出表!H")&amp;MATCH(G32,保険年金算出表!$F$4:$F$50,1)+4))</f>
        <v/>
      </c>
      <c r="I32" s="104" t="str">
        <f ca="1">IF(B32="","",INDIRECT("保険年金算出表!Ｌ"&amp;MATCH(G32,保険年金算出表!$F$4:$F$50,1)+4))</f>
        <v/>
      </c>
      <c r="J32" s="57"/>
      <c r="K32" s="24"/>
      <c r="L32" s="106" t="str">
        <f>IF(B32="","",IF(ISNA(MATCH($G32,源泉徴収額算出表!$B$4:$B$9,1)),源泉徴収額算出表!$A$4,MATCH($G32,源泉徴収額算出表!$B$4:$B$9,1) + 源泉徴収額算出表!$A$4))</f>
        <v/>
      </c>
      <c r="M32" s="106" t="str">
        <f ca="1">IF(B32="","",IF(L32=源泉徴収額算出表!$A$4,源泉徴収額算出表!$C$4,給与明細情報!X37 * INDIRECT("源泉徴収額算出表!C"&amp; L32) +  INDIRECT("源泉徴収額算出表!D"&amp; L32)))</f>
        <v/>
      </c>
      <c r="N32" s="106" t="str">
        <f>IF(B32="","",源泉徴収額算出表!$C$13 * E32 + 源泉徴収額算出表!$C$14)</f>
        <v/>
      </c>
      <c r="O32" s="106" t="str">
        <f t="shared" si="1"/>
        <v/>
      </c>
      <c r="P32" s="106" t="str">
        <f>IF(B32="","",IF(ISNA(MATCH(O32,源泉徴収額算出表!$B$18:$B$23,1)),源泉徴収額算出表!$A$18,MATCH(O32,源泉徴収額算出表!$B$18:$B$23,1) + 源泉徴収額算出表!$A$18))</f>
        <v/>
      </c>
      <c r="Q32" s="106" t="str">
        <f t="shared" ca="1" si="2"/>
        <v/>
      </c>
    </row>
    <row r="33" spans="2:17">
      <c r="B33" s="17"/>
      <c r="C33" s="17"/>
      <c r="D33" s="35"/>
      <c r="E33" s="35"/>
      <c r="F33" s="102" t="str">
        <f ca="1">IF(B33="","",INDIRECT("保険年金算出表!A"&amp; MATCH(G33,保険年金算出表!$F$4:$F$50,1)+4))</f>
        <v/>
      </c>
      <c r="G33" s="24"/>
      <c r="H33" s="104" t="str">
        <f ca="1">IF(B33="","",INDIRECT(IF(D33&lt;&gt;"","保険年金算出表!J","保険年金算出表!H")&amp;MATCH(G33,保険年金算出表!$F$4:$F$50,1)+4))</f>
        <v/>
      </c>
      <c r="I33" s="104" t="str">
        <f ca="1">IF(B33="","",INDIRECT("保険年金算出表!Ｌ"&amp;MATCH(G33,保険年金算出表!$F$4:$F$50,1)+4))</f>
        <v/>
      </c>
      <c r="J33" s="57"/>
      <c r="K33" s="24"/>
      <c r="L33" s="106" t="str">
        <f>IF(B33="","",IF(ISNA(MATCH($G33,源泉徴収額算出表!$B$4:$B$9,1)),源泉徴収額算出表!$A$4,MATCH($G33,源泉徴収額算出表!$B$4:$B$9,1) + 源泉徴収額算出表!$A$4))</f>
        <v/>
      </c>
      <c r="M33" s="106" t="str">
        <f ca="1">IF(B33="","",IF(L33=源泉徴収額算出表!$A$4,源泉徴収額算出表!$C$4,給与明細情報!X38 * INDIRECT("源泉徴収額算出表!C"&amp; L33) +  INDIRECT("源泉徴収額算出表!D"&amp; L33)))</f>
        <v/>
      </c>
      <c r="N33" s="106" t="str">
        <f>IF(B33="","",源泉徴収額算出表!$C$13 * E33 + 源泉徴収額算出表!$C$14)</f>
        <v/>
      </c>
      <c r="O33" s="106" t="str">
        <f t="shared" si="1"/>
        <v/>
      </c>
      <c r="P33" s="106" t="str">
        <f>IF(B33="","",IF(ISNA(MATCH(O33,源泉徴収額算出表!$B$18:$B$23,1)),源泉徴収額算出表!$A$18,MATCH(O33,源泉徴収額算出表!$B$18:$B$23,1) + 源泉徴収額算出表!$A$18))</f>
        <v/>
      </c>
      <c r="Q33" s="106" t="str">
        <f t="shared" ca="1" si="2"/>
        <v/>
      </c>
    </row>
    <row r="34" spans="2:17">
      <c r="B34" s="17"/>
      <c r="C34" s="17"/>
      <c r="D34" s="35"/>
      <c r="E34" s="35"/>
      <c r="F34" s="102" t="str">
        <f ca="1">IF(B34="","",INDIRECT("保険年金算出表!A"&amp; MATCH(G34,保険年金算出表!$F$4:$F$50,1)+4))</f>
        <v/>
      </c>
      <c r="G34" s="24"/>
      <c r="H34" s="104" t="str">
        <f ca="1">IF(B34="","",INDIRECT(IF(D34&lt;&gt;"","保険年金算出表!J","保険年金算出表!H")&amp;MATCH(G34,保険年金算出表!$F$4:$F$50,1)+4))</f>
        <v/>
      </c>
      <c r="I34" s="104" t="str">
        <f ca="1">IF(B34="","",INDIRECT("保険年金算出表!Ｌ"&amp;MATCH(G34,保険年金算出表!$F$4:$F$50,1)+4))</f>
        <v/>
      </c>
      <c r="J34" s="57"/>
      <c r="K34" s="24"/>
      <c r="L34" s="106" t="str">
        <f>IF(B34="","",IF(ISNA(MATCH($G34,源泉徴収額算出表!$B$4:$B$9,1)),源泉徴収額算出表!$A$4,MATCH($G34,源泉徴収額算出表!$B$4:$B$9,1) + 源泉徴収額算出表!$A$4))</f>
        <v/>
      </c>
      <c r="M34" s="106" t="str">
        <f ca="1">IF(B34="","",IF(L34=源泉徴収額算出表!$A$4,源泉徴収額算出表!$C$4,給与明細情報!X39 * INDIRECT("源泉徴収額算出表!C"&amp; L34) +  INDIRECT("源泉徴収額算出表!D"&amp; L34)))</f>
        <v/>
      </c>
      <c r="N34" s="106" t="str">
        <f>IF(B34="","",源泉徴収額算出表!$C$13 * E34 + 源泉徴収額算出表!$C$14)</f>
        <v/>
      </c>
      <c r="O34" s="106" t="str">
        <f t="shared" si="1"/>
        <v/>
      </c>
      <c r="P34" s="106" t="str">
        <f>IF(B34="","",IF(ISNA(MATCH(O34,源泉徴収額算出表!$B$18:$B$23,1)),源泉徴収額算出表!$A$18,MATCH(O34,源泉徴収額算出表!$B$18:$B$23,1) + 源泉徴収額算出表!$A$18))</f>
        <v/>
      </c>
      <c r="Q34" s="106" t="str">
        <f t="shared" ca="1" si="2"/>
        <v/>
      </c>
    </row>
    <row r="35" spans="2:17">
      <c r="B35" s="17"/>
      <c r="C35" s="17"/>
      <c r="D35" s="35"/>
      <c r="E35" s="35"/>
      <c r="F35" s="102" t="str">
        <f ca="1">IF(B35="","",INDIRECT("保険年金算出表!A"&amp; MATCH(G35,保険年金算出表!$F$4:$F$50,1)+4))</f>
        <v/>
      </c>
      <c r="G35" s="24"/>
      <c r="H35" s="104" t="str">
        <f ca="1">IF(B35="","",INDIRECT(IF(D35&lt;&gt;"","保険年金算出表!J","保険年金算出表!H")&amp;MATCH(G35,保険年金算出表!$F$4:$F$50,1)+4))</f>
        <v/>
      </c>
      <c r="I35" s="104" t="str">
        <f ca="1">IF(B35="","",INDIRECT("保険年金算出表!Ｌ"&amp;MATCH(G35,保険年金算出表!$F$4:$F$50,1)+4))</f>
        <v/>
      </c>
      <c r="J35" s="57"/>
      <c r="K35" s="24"/>
      <c r="L35" s="106" t="str">
        <f>IF(B35="","",IF(ISNA(MATCH($G35,源泉徴収額算出表!$B$4:$B$9,1)),源泉徴収額算出表!$A$4,MATCH($G35,源泉徴収額算出表!$B$4:$B$9,1) + 源泉徴収額算出表!$A$4))</f>
        <v/>
      </c>
      <c r="M35" s="106" t="str">
        <f ca="1">IF(B35="","",IF(L35=源泉徴収額算出表!$A$4,源泉徴収額算出表!$C$4,給与明細情報!X40 * INDIRECT("源泉徴収額算出表!C"&amp; L35) +  INDIRECT("源泉徴収額算出表!D"&amp; L35)))</f>
        <v/>
      </c>
      <c r="N35" s="106" t="str">
        <f>IF(B35="","",源泉徴収額算出表!$C$13 * E35 + 源泉徴収額算出表!$C$14)</f>
        <v/>
      </c>
      <c r="O35" s="106" t="str">
        <f t="shared" si="1"/>
        <v/>
      </c>
      <c r="P35" s="106" t="str">
        <f>IF(B35="","",IF(ISNA(MATCH(O35,源泉徴収額算出表!$B$18:$B$23,1)),源泉徴収額算出表!$A$18,MATCH(O35,源泉徴収額算出表!$B$18:$B$23,1) + 源泉徴収額算出表!$A$18))</f>
        <v/>
      </c>
      <c r="Q35" s="106" t="str">
        <f t="shared" ca="1" si="2"/>
        <v/>
      </c>
    </row>
    <row r="36" spans="2:17">
      <c r="B36" s="17"/>
      <c r="C36" s="17"/>
      <c r="D36" s="35"/>
      <c r="E36" s="35"/>
      <c r="F36" s="102" t="str">
        <f ca="1">IF(B36="","",INDIRECT("保険年金算出表!A"&amp; MATCH(G36,保険年金算出表!$F$4:$F$50,1)+4))</f>
        <v/>
      </c>
      <c r="G36" s="24"/>
      <c r="H36" s="104" t="str">
        <f ca="1">IF(B36="","",INDIRECT(IF(D36&lt;&gt;"","保険年金算出表!J","保険年金算出表!H")&amp;MATCH(G36,保険年金算出表!$F$4:$F$50,1)+4))</f>
        <v/>
      </c>
      <c r="I36" s="104" t="str">
        <f ca="1">IF(B36="","",INDIRECT("保険年金算出表!Ｌ"&amp;MATCH(G36,保険年金算出表!$F$4:$F$50,1)+4))</f>
        <v/>
      </c>
      <c r="J36" s="57"/>
      <c r="K36" s="24"/>
      <c r="L36" s="106" t="str">
        <f>IF(B36="","",IF(ISNA(MATCH($G36,源泉徴収額算出表!$B$4:$B$9,1)),源泉徴収額算出表!$A$4,MATCH($G36,源泉徴収額算出表!$B$4:$B$9,1) + 源泉徴収額算出表!$A$4))</f>
        <v/>
      </c>
      <c r="M36" s="106" t="str">
        <f ca="1">IF(B36="","",IF(L36=源泉徴収額算出表!$A$4,源泉徴収額算出表!$C$4,給与明細情報!X41 * INDIRECT("源泉徴収額算出表!C"&amp; L36) +  INDIRECT("源泉徴収額算出表!D"&amp; L36)))</f>
        <v/>
      </c>
      <c r="N36" s="106" t="str">
        <f>IF(B36="","",源泉徴収額算出表!$C$13 * E36 + 源泉徴収額算出表!$C$14)</f>
        <v/>
      </c>
      <c r="O36" s="106" t="str">
        <f t="shared" si="1"/>
        <v/>
      </c>
      <c r="P36" s="106" t="str">
        <f>IF(B36="","",IF(ISNA(MATCH(O36,源泉徴収額算出表!$B$18:$B$23,1)),源泉徴収額算出表!$A$18,MATCH(O36,源泉徴収額算出表!$B$18:$B$23,1) + 源泉徴収額算出表!$A$18))</f>
        <v/>
      </c>
      <c r="Q36" s="106" t="str">
        <f t="shared" ca="1" si="2"/>
        <v/>
      </c>
    </row>
    <row r="37" spans="2:17">
      <c r="B37" s="17"/>
      <c r="C37" s="17"/>
      <c r="D37" s="35"/>
      <c r="E37" s="35"/>
      <c r="F37" s="102" t="str">
        <f ca="1">IF(B37="","",INDIRECT("保険年金算出表!A"&amp; MATCH(G37,保険年金算出表!$F$4:$F$50,1)+4))</f>
        <v/>
      </c>
      <c r="G37" s="24"/>
      <c r="H37" s="104" t="str">
        <f ca="1">IF(B37="","",INDIRECT(IF(D37&lt;&gt;"","保険年金算出表!J","保険年金算出表!H")&amp;MATCH(G37,保険年金算出表!$F$4:$F$50,1)+4))</f>
        <v/>
      </c>
      <c r="I37" s="104" t="str">
        <f ca="1">IF(B37="","",INDIRECT("保険年金算出表!Ｌ"&amp;MATCH(G37,保険年金算出表!$F$4:$F$50,1)+4))</f>
        <v/>
      </c>
      <c r="J37" s="57"/>
      <c r="K37" s="24"/>
      <c r="L37" s="106" t="str">
        <f>IF(B37="","",IF(ISNA(MATCH($G37,源泉徴収額算出表!$B$4:$B$9,1)),源泉徴収額算出表!$A$4,MATCH($G37,源泉徴収額算出表!$B$4:$B$9,1) + 源泉徴収額算出表!$A$4))</f>
        <v/>
      </c>
      <c r="M37" s="106" t="str">
        <f ca="1">IF(B37="","",IF(L37=源泉徴収額算出表!$A$4,源泉徴収額算出表!$C$4,給与明細情報!X42 * INDIRECT("源泉徴収額算出表!C"&amp; L37) +  INDIRECT("源泉徴収額算出表!D"&amp; L37)))</f>
        <v/>
      </c>
      <c r="N37" s="106" t="str">
        <f>IF(B37="","",源泉徴収額算出表!$C$13 * E37 + 源泉徴収額算出表!$C$14)</f>
        <v/>
      </c>
      <c r="O37" s="106" t="str">
        <f t="shared" si="1"/>
        <v/>
      </c>
      <c r="P37" s="106" t="str">
        <f>IF(B37="","",IF(ISNA(MATCH(O37,源泉徴収額算出表!$B$18:$B$23,1)),源泉徴収額算出表!$A$18,MATCH(O37,源泉徴収額算出表!$B$18:$B$23,1) + 源泉徴収額算出表!$A$18))</f>
        <v/>
      </c>
      <c r="Q37" s="106" t="str">
        <f t="shared" ca="1" si="2"/>
        <v/>
      </c>
    </row>
    <row r="38" spans="2:17">
      <c r="B38" s="17"/>
      <c r="C38" s="17"/>
      <c r="D38" s="35"/>
      <c r="E38" s="35"/>
      <c r="F38" s="102" t="str">
        <f ca="1">IF(B38="","",INDIRECT("保険年金算出表!A"&amp; MATCH(G38,保険年金算出表!$F$4:$F$50,1)+4))</f>
        <v/>
      </c>
      <c r="G38" s="24"/>
      <c r="H38" s="104" t="str">
        <f ca="1">IF(B38="","",INDIRECT(IF(D38&lt;&gt;"","保険年金算出表!J","保険年金算出表!H")&amp;MATCH(G38,保険年金算出表!$F$4:$F$50,1)+4))</f>
        <v/>
      </c>
      <c r="I38" s="104" t="str">
        <f ca="1">IF(B38="","",INDIRECT("保険年金算出表!Ｌ"&amp;MATCH(G38,保険年金算出表!$F$4:$F$50,1)+4))</f>
        <v/>
      </c>
      <c r="J38" s="57"/>
      <c r="K38" s="24"/>
      <c r="L38" s="106" t="str">
        <f>IF(B38="","",IF(ISNA(MATCH($G38,源泉徴収額算出表!$B$4:$B$9,1)),源泉徴収額算出表!$A$4,MATCH($G38,源泉徴収額算出表!$B$4:$B$9,1) + 源泉徴収額算出表!$A$4))</f>
        <v/>
      </c>
      <c r="M38" s="106" t="str">
        <f ca="1">IF(B38="","",IF(L38=源泉徴収額算出表!$A$4,源泉徴収額算出表!$C$4,給与明細情報!X43 * INDIRECT("源泉徴収額算出表!C"&amp; L38) +  INDIRECT("源泉徴収額算出表!D"&amp; L38)))</f>
        <v/>
      </c>
      <c r="N38" s="106" t="str">
        <f>IF(B38="","",源泉徴収額算出表!$C$13 * E38 + 源泉徴収額算出表!$C$14)</f>
        <v/>
      </c>
      <c r="O38" s="106" t="str">
        <f t="shared" si="1"/>
        <v/>
      </c>
      <c r="P38" s="106" t="str">
        <f>IF(B38="","",IF(ISNA(MATCH(O38,源泉徴収額算出表!$B$18:$B$23,1)),源泉徴収額算出表!$A$18,MATCH(O38,源泉徴収額算出表!$B$18:$B$23,1) + 源泉徴収額算出表!$A$18))</f>
        <v/>
      </c>
      <c r="Q38" s="106" t="str">
        <f t="shared" ca="1" si="2"/>
        <v/>
      </c>
    </row>
    <row r="39" spans="2:17">
      <c r="B39" s="17"/>
      <c r="C39" s="17"/>
      <c r="D39" s="35"/>
      <c r="E39" s="35"/>
      <c r="F39" s="102" t="str">
        <f ca="1">IF(B39="","",INDIRECT("保険年金算出表!A"&amp; MATCH(G39,保険年金算出表!$F$4:$F$50,1)+4))</f>
        <v/>
      </c>
      <c r="G39" s="24"/>
      <c r="H39" s="104" t="str">
        <f ca="1">IF(B39="","",INDIRECT(IF(D39&lt;&gt;"","保険年金算出表!J","保険年金算出表!H")&amp;MATCH(G39,保険年金算出表!$F$4:$F$50,1)+4))</f>
        <v/>
      </c>
      <c r="I39" s="104" t="str">
        <f ca="1">IF(B39="","",INDIRECT("保険年金算出表!Ｌ"&amp;MATCH(G39,保険年金算出表!$F$4:$F$50,1)+4))</f>
        <v/>
      </c>
      <c r="J39" s="57"/>
      <c r="K39" s="24"/>
      <c r="L39" s="106" t="str">
        <f>IF(B39="","",IF(ISNA(MATCH($G39,源泉徴収額算出表!$B$4:$B$9,1)),源泉徴収額算出表!$A$4,MATCH($G39,源泉徴収額算出表!$B$4:$B$9,1) + 源泉徴収額算出表!$A$4))</f>
        <v/>
      </c>
      <c r="M39" s="106" t="str">
        <f ca="1">IF(B39="","",IF(L39=源泉徴収額算出表!$A$4,源泉徴収額算出表!$C$4,給与明細情報!X44 * INDIRECT("源泉徴収額算出表!C"&amp; L39) +  INDIRECT("源泉徴収額算出表!D"&amp; L39)))</f>
        <v/>
      </c>
      <c r="N39" s="106" t="str">
        <f>IF(B39="","",源泉徴収額算出表!$C$13 * E39 + 源泉徴収額算出表!$C$14)</f>
        <v/>
      </c>
      <c r="O39" s="106" t="str">
        <f t="shared" si="1"/>
        <v/>
      </c>
      <c r="P39" s="106" t="str">
        <f>IF(B39="","",IF(ISNA(MATCH(O39,源泉徴収額算出表!$B$18:$B$23,1)),源泉徴収額算出表!$A$18,MATCH(O39,源泉徴収額算出表!$B$18:$B$23,1) + 源泉徴収額算出表!$A$18))</f>
        <v/>
      </c>
      <c r="Q39" s="106" t="str">
        <f t="shared" ca="1" si="2"/>
        <v/>
      </c>
    </row>
    <row r="40" spans="2:17">
      <c r="B40" s="17"/>
      <c r="C40" s="17"/>
      <c r="D40" s="35"/>
      <c r="E40" s="35"/>
      <c r="F40" s="102" t="str">
        <f ca="1">IF(B40="","",INDIRECT("保険年金算出表!A"&amp; MATCH(G40,保険年金算出表!$F$4:$F$50,1)+4))</f>
        <v/>
      </c>
      <c r="G40" s="24"/>
      <c r="H40" s="104" t="str">
        <f ca="1">IF(B40="","",INDIRECT(IF(D40&lt;&gt;"","保険年金算出表!J","保険年金算出表!H")&amp;MATCH(G40,保険年金算出表!$F$4:$F$50,1)+4))</f>
        <v/>
      </c>
      <c r="I40" s="104" t="str">
        <f ca="1">IF(B40="","",INDIRECT("保険年金算出表!Ｌ"&amp;MATCH(G40,保険年金算出表!$F$4:$F$50,1)+4))</f>
        <v/>
      </c>
      <c r="J40" s="57"/>
      <c r="K40" s="24"/>
      <c r="L40" s="106" t="str">
        <f>IF(B40="","",IF(ISNA(MATCH($G40,源泉徴収額算出表!$B$4:$B$9,1)),源泉徴収額算出表!$A$4,MATCH($G40,源泉徴収額算出表!$B$4:$B$9,1) + 源泉徴収額算出表!$A$4))</f>
        <v/>
      </c>
      <c r="M40" s="106" t="str">
        <f ca="1">IF(B40="","",IF(L40=源泉徴収額算出表!$A$4,源泉徴収額算出表!$C$4,給与明細情報!X45 * INDIRECT("源泉徴収額算出表!C"&amp; L40) +  INDIRECT("源泉徴収額算出表!D"&amp; L40)))</f>
        <v/>
      </c>
      <c r="N40" s="106" t="str">
        <f>IF(B40="","",源泉徴収額算出表!$C$13 * E40 + 源泉徴収額算出表!$C$14)</f>
        <v/>
      </c>
      <c r="O40" s="106" t="str">
        <f t="shared" si="1"/>
        <v/>
      </c>
      <c r="P40" s="106" t="str">
        <f>IF(B40="","",IF(ISNA(MATCH(O40,源泉徴収額算出表!$B$18:$B$23,1)),源泉徴収額算出表!$A$18,MATCH(O40,源泉徴収額算出表!$B$18:$B$23,1) + 源泉徴収額算出表!$A$18))</f>
        <v/>
      </c>
      <c r="Q40" s="106" t="str">
        <f t="shared" ca="1" si="2"/>
        <v/>
      </c>
    </row>
    <row r="41" spans="2:17">
      <c r="B41" s="17"/>
      <c r="C41" s="17"/>
      <c r="D41" s="35"/>
      <c r="E41" s="35"/>
      <c r="F41" s="102" t="str">
        <f ca="1">IF(B41="","",INDIRECT("保険年金算出表!A"&amp; MATCH(G41,保険年金算出表!$F$4:$F$50,1)+4))</f>
        <v/>
      </c>
      <c r="G41" s="24"/>
      <c r="H41" s="104" t="str">
        <f ca="1">IF(B41="","",INDIRECT(IF(D41&lt;&gt;"","保険年金算出表!J","保険年金算出表!H")&amp;MATCH(G41,保険年金算出表!$F$4:$F$50,1)+4))</f>
        <v/>
      </c>
      <c r="I41" s="104" t="str">
        <f ca="1">IF(B41="","",INDIRECT("保険年金算出表!Ｌ"&amp;MATCH(G41,保険年金算出表!$F$4:$F$50,1)+4))</f>
        <v/>
      </c>
      <c r="J41" s="57"/>
      <c r="K41" s="24"/>
      <c r="L41" s="106" t="str">
        <f>IF(B41="","",IF(ISNA(MATCH($G41,源泉徴収額算出表!$B$4:$B$9,1)),源泉徴収額算出表!$A$4,MATCH($G41,源泉徴収額算出表!$B$4:$B$9,1) + 源泉徴収額算出表!$A$4))</f>
        <v/>
      </c>
      <c r="M41" s="106" t="str">
        <f ca="1">IF(B41="","",IF(L41=源泉徴収額算出表!$A$4,源泉徴収額算出表!$C$4,給与明細情報!X46 * INDIRECT("源泉徴収額算出表!C"&amp; L41) +  INDIRECT("源泉徴収額算出表!D"&amp; L41)))</f>
        <v/>
      </c>
      <c r="N41" s="106" t="str">
        <f>IF(B41="","",源泉徴収額算出表!$C$13 * E41 + 源泉徴収額算出表!$C$14)</f>
        <v/>
      </c>
      <c r="O41" s="106" t="str">
        <f t="shared" si="1"/>
        <v/>
      </c>
      <c r="P41" s="106" t="str">
        <f>IF(B41="","",IF(ISNA(MATCH(O41,源泉徴収額算出表!$B$18:$B$23,1)),源泉徴収額算出表!$A$18,MATCH(O41,源泉徴収額算出表!$B$18:$B$23,1) + 源泉徴収額算出表!$A$18))</f>
        <v/>
      </c>
      <c r="Q41" s="106" t="str">
        <f t="shared" ca="1" si="2"/>
        <v/>
      </c>
    </row>
    <row r="42" spans="2:17">
      <c r="B42" s="17"/>
      <c r="C42" s="17"/>
      <c r="D42" s="35"/>
      <c r="E42" s="35"/>
      <c r="F42" s="102" t="str">
        <f ca="1">IF(B42="","",INDIRECT("保険年金算出表!A"&amp; MATCH(G42,保険年金算出表!$F$4:$F$50,1)+4))</f>
        <v/>
      </c>
      <c r="G42" s="24"/>
      <c r="H42" s="104" t="str">
        <f ca="1">IF(B42="","",INDIRECT(IF(D42&lt;&gt;"","保険年金算出表!J","保険年金算出表!H")&amp;MATCH(G42,保険年金算出表!$F$4:$F$50,1)+4))</f>
        <v/>
      </c>
      <c r="I42" s="104" t="str">
        <f ca="1">IF(B42="","",INDIRECT("保険年金算出表!Ｌ"&amp;MATCH(G42,保険年金算出表!$F$4:$F$50,1)+4))</f>
        <v/>
      </c>
      <c r="J42" s="57"/>
      <c r="K42" s="24"/>
      <c r="L42" s="106" t="str">
        <f>IF(B42="","",IF(ISNA(MATCH($G42,源泉徴収額算出表!$B$4:$B$9,1)),源泉徴収額算出表!$A$4,MATCH($G42,源泉徴収額算出表!$B$4:$B$9,1) + 源泉徴収額算出表!$A$4))</f>
        <v/>
      </c>
      <c r="M42" s="106" t="str">
        <f ca="1">IF(B42="","",IF(L42=源泉徴収額算出表!$A$4,源泉徴収額算出表!$C$4,給与明細情報!X47 * INDIRECT("源泉徴収額算出表!C"&amp; L42) +  INDIRECT("源泉徴収額算出表!D"&amp; L42)))</f>
        <v/>
      </c>
      <c r="N42" s="106" t="str">
        <f>IF(B42="","",源泉徴収額算出表!$C$13 * E42 + 源泉徴収額算出表!$C$14)</f>
        <v/>
      </c>
      <c r="O42" s="106" t="str">
        <f t="shared" si="1"/>
        <v/>
      </c>
      <c r="P42" s="106" t="str">
        <f>IF(B42="","",IF(ISNA(MATCH(O42,源泉徴収額算出表!$B$18:$B$23,1)),源泉徴収額算出表!$A$18,MATCH(O42,源泉徴収額算出表!$B$18:$B$23,1) + 源泉徴収額算出表!$A$18))</f>
        <v/>
      </c>
      <c r="Q42" s="106" t="str">
        <f t="shared" ca="1" si="2"/>
        <v/>
      </c>
    </row>
    <row r="43" spans="2:17">
      <c r="B43" s="17"/>
      <c r="C43" s="17"/>
      <c r="D43" s="35"/>
      <c r="E43" s="35"/>
      <c r="F43" s="102" t="str">
        <f ca="1">IF(B43="","",INDIRECT("保険年金算出表!A"&amp; MATCH(G43,保険年金算出表!$F$4:$F$50,1)+4))</f>
        <v/>
      </c>
      <c r="G43" s="24"/>
      <c r="H43" s="104" t="str">
        <f ca="1">IF(B43="","",INDIRECT(IF(D43&lt;&gt;"","保険年金算出表!J","保険年金算出表!H")&amp;MATCH(G43,保険年金算出表!$F$4:$F$50,1)+4))</f>
        <v/>
      </c>
      <c r="I43" s="104" t="str">
        <f ca="1">IF(B43="","",INDIRECT("保険年金算出表!Ｌ"&amp;MATCH(G43,保険年金算出表!$F$4:$F$50,1)+4))</f>
        <v/>
      </c>
      <c r="J43" s="57"/>
      <c r="K43" s="24"/>
      <c r="L43" s="106" t="str">
        <f>IF(B43="","",IF(ISNA(MATCH($G43,源泉徴収額算出表!$B$4:$B$9,1)),源泉徴収額算出表!$A$4,MATCH($G43,源泉徴収額算出表!$B$4:$B$9,1) + 源泉徴収額算出表!$A$4))</f>
        <v/>
      </c>
      <c r="M43" s="106" t="str">
        <f ca="1">IF(B43="","",IF(L43=源泉徴収額算出表!$A$4,源泉徴収額算出表!$C$4,給与明細情報!X48 * INDIRECT("源泉徴収額算出表!C"&amp; L43) +  INDIRECT("源泉徴収額算出表!D"&amp; L43)))</f>
        <v/>
      </c>
      <c r="N43" s="106" t="str">
        <f>IF(B43="","",源泉徴収額算出表!$C$13 * E43 + 源泉徴収額算出表!$C$14)</f>
        <v/>
      </c>
      <c r="O43" s="106" t="str">
        <f t="shared" si="1"/>
        <v/>
      </c>
      <c r="P43" s="106" t="str">
        <f>IF(B43="","",IF(ISNA(MATCH(O43,源泉徴収額算出表!$B$18:$B$23,1)),源泉徴収額算出表!$A$18,MATCH(O43,源泉徴収額算出表!$B$18:$B$23,1) + 源泉徴収額算出表!$A$18))</f>
        <v/>
      </c>
      <c r="Q43" s="106" t="str">
        <f t="shared" ca="1" si="2"/>
        <v/>
      </c>
    </row>
  </sheetData>
  <sheetProtection sheet="1" formatCells="0" formatColumns="0" formatRows="0" insertColumns="0" insertRows="0" insertHyperlinks="0" deleteColumns="0" deleteRows="0" sort="0" autoFilter="0" pivotTables="0"/>
  <protectedRanges>
    <protectedRange sqref="J4:K43" name="範囲3"/>
    <protectedRange sqref="G4:G43" name="範囲2"/>
    <protectedRange sqref="B4:E43" name="範囲1"/>
  </protectedRanges>
  <phoneticPr fontId="3"/>
  <dataValidations count="2">
    <dataValidation type="whole" allowBlank="1" showInputMessage="1" showErrorMessage="1" sqref="E4:E43 G4:G43 J4:K43">
      <formula1>0</formula1>
      <formula2>99999999</formula2>
    </dataValidation>
    <dataValidation type="whole" allowBlank="1" showInputMessage="1" showErrorMessage="1" sqref="B4:B43">
      <formula1>0</formula1>
      <formula2>99999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003"/>
  <dimension ref="B2:AA38"/>
  <sheetViews>
    <sheetView topLeftCell="Q1" zoomScaleNormal="100" workbookViewId="0">
      <selection activeCell="AD9" sqref="AD9"/>
    </sheetView>
  </sheetViews>
  <sheetFormatPr defaultRowHeight="13.5"/>
  <cols>
    <col min="1" max="1" width="2.75" style="1" customWidth="1"/>
    <col min="2" max="2" width="7.625" style="1" customWidth="1"/>
    <col min="3" max="3" width="11.5" style="1" customWidth="1"/>
    <col min="4" max="4" width="7.125" style="1" customWidth="1"/>
    <col min="5" max="10" width="5.625" style="1" customWidth="1"/>
    <col min="11" max="16384" width="9" style="1"/>
  </cols>
  <sheetData>
    <row r="2" spans="2:27" s="29" customFormat="1" ht="18.75">
      <c r="B2" s="142" t="s">
        <v>156</v>
      </c>
      <c r="C2" s="142"/>
      <c r="D2" s="142"/>
      <c r="E2" s="142"/>
      <c r="F2" s="142"/>
      <c r="G2" s="142"/>
      <c r="H2" s="143" t="s">
        <v>157</v>
      </c>
      <c r="I2" s="143"/>
      <c r="J2" s="143"/>
      <c r="K2" s="143"/>
    </row>
    <row r="3" spans="2:27">
      <c r="B3" s="139" t="s">
        <v>3</v>
      </c>
      <c r="C3" s="140"/>
      <c r="D3" s="139" t="s">
        <v>5</v>
      </c>
      <c r="E3" s="140"/>
      <c r="F3" s="140"/>
      <c r="G3" s="141"/>
      <c r="H3" s="139" t="s">
        <v>6</v>
      </c>
      <c r="I3" s="140"/>
      <c r="J3" s="141"/>
      <c r="K3" s="139" t="s">
        <v>7</v>
      </c>
      <c r="L3" s="140"/>
      <c r="M3" s="140"/>
      <c r="N3" s="140"/>
      <c r="O3" s="140"/>
      <c r="P3" s="140"/>
      <c r="Q3" s="141"/>
      <c r="R3" s="139" t="s">
        <v>8</v>
      </c>
      <c r="S3" s="140"/>
      <c r="T3" s="140"/>
      <c r="U3" s="140"/>
      <c r="V3" s="141"/>
      <c r="W3" s="139" t="s">
        <v>9</v>
      </c>
      <c r="X3" s="140"/>
      <c r="Y3" s="140"/>
      <c r="Z3" s="141"/>
      <c r="AA3" s="137" t="s">
        <v>160</v>
      </c>
    </row>
    <row r="4" spans="2:27" ht="32.25" customHeight="1" thickBot="1">
      <c r="B4" s="115" t="s">
        <v>132</v>
      </c>
      <c r="C4" s="116" t="s">
        <v>11</v>
      </c>
      <c r="D4" s="117" t="s">
        <v>13</v>
      </c>
      <c r="E4" s="116" t="s">
        <v>14</v>
      </c>
      <c r="F4" s="116" t="s">
        <v>15</v>
      </c>
      <c r="G4" s="118" t="s">
        <v>135</v>
      </c>
      <c r="H4" s="117" t="s">
        <v>16</v>
      </c>
      <c r="I4" s="116" t="s">
        <v>17</v>
      </c>
      <c r="J4" s="119" t="s">
        <v>18</v>
      </c>
      <c r="K4" s="117" t="s">
        <v>19</v>
      </c>
      <c r="L4" s="116" t="s">
        <v>20</v>
      </c>
      <c r="M4" s="116" t="s">
        <v>21</v>
      </c>
      <c r="N4" s="116" t="s">
        <v>22</v>
      </c>
      <c r="O4" s="116" t="s">
        <v>23</v>
      </c>
      <c r="P4" s="116" t="s">
        <v>24</v>
      </c>
      <c r="Q4" s="119" t="s">
        <v>25</v>
      </c>
      <c r="R4" s="117" t="s">
        <v>26</v>
      </c>
      <c r="S4" s="116" t="s">
        <v>27</v>
      </c>
      <c r="T4" s="116" t="s">
        <v>28</v>
      </c>
      <c r="U4" s="116" t="s">
        <v>29</v>
      </c>
      <c r="V4" s="119" t="s">
        <v>30</v>
      </c>
      <c r="W4" s="117" t="s">
        <v>31</v>
      </c>
      <c r="X4" s="116" t="s">
        <v>32</v>
      </c>
      <c r="Y4" s="116" t="s">
        <v>33</v>
      </c>
      <c r="Z4" s="119" t="s">
        <v>34</v>
      </c>
      <c r="AA4" s="138"/>
    </row>
    <row r="5" spans="2:27" ht="13.5" customHeight="1" thickTop="1">
      <c r="B5" s="107"/>
      <c r="C5" s="108"/>
      <c r="D5" s="98"/>
      <c r="E5" s="99"/>
      <c r="F5" s="99"/>
      <c r="G5" s="109"/>
      <c r="H5" s="110"/>
      <c r="I5" s="99"/>
      <c r="J5" s="109"/>
      <c r="K5" s="110"/>
      <c r="L5" s="99"/>
      <c r="M5" s="99"/>
      <c r="N5" s="99"/>
      <c r="O5" s="99"/>
      <c r="P5" s="99"/>
      <c r="Q5" s="109"/>
      <c r="R5" s="110"/>
      <c r="S5" s="99"/>
      <c r="T5" s="99"/>
      <c r="U5" s="99"/>
      <c r="V5" s="109"/>
      <c r="W5" s="110"/>
      <c r="X5" s="99"/>
      <c r="Y5" s="99"/>
      <c r="Z5" s="109"/>
      <c r="AA5" s="128"/>
    </row>
    <row r="6" spans="2:27">
      <c r="B6" s="111"/>
      <c r="C6" s="112"/>
      <c r="D6" s="97"/>
      <c r="E6" s="100"/>
      <c r="F6" s="100"/>
      <c r="G6" s="113"/>
      <c r="H6" s="114"/>
      <c r="I6" s="100"/>
      <c r="J6" s="113"/>
      <c r="K6" s="114"/>
      <c r="L6" s="100"/>
      <c r="M6" s="100"/>
      <c r="N6" s="100"/>
      <c r="O6" s="100"/>
      <c r="P6" s="100"/>
      <c r="Q6" s="113"/>
      <c r="R6" s="114"/>
      <c r="S6" s="100"/>
      <c r="T6" s="100"/>
      <c r="U6" s="100"/>
      <c r="V6" s="113"/>
      <c r="W6" s="114"/>
      <c r="X6" s="100"/>
      <c r="Y6" s="100"/>
      <c r="Z6" s="113"/>
      <c r="AA6" s="17"/>
    </row>
    <row r="7" spans="2:27">
      <c r="B7" s="111"/>
      <c r="C7" s="112"/>
      <c r="D7" s="97"/>
      <c r="E7" s="100"/>
      <c r="F7" s="100"/>
      <c r="G7" s="113"/>
      <c r="H7" s="114"/>
      <c r="I7" s="100"/>
      <c r="J7" s="113"/>
      <c r="K7" s="114"/>
      <c r="L7" s="100"/>
      <c r="M7" s="100"/>
      <c r="N7" s="100"/>
      <c r="O7" s="100"/>
      <c r="P7" s="100"/>
      <c r="Q7" s="113"/>
      <c r="R7" s="114"/>
      <c r="S7" s="100"/>
      <c r="T7" s="100"/>
      <c r="U7" s="100"/>
      <c r="V7" s="113"/>
      <c r="W7" s="114"/>
      <c r="X7" s="100"/>
      <c r="Y7" s="100"/>
      <c r="Z7" s="113"/>
      <c r="AA7" s="17"/>
    </row>
    <row r="8" spans="2:27">
      <c r="B8" s="111"/>
      <c r="C8" s="112"/>
      <c r="D8" s="97"/>
      <c r="E8" s="100"/>
      <c r="F8" s="100"/>
      <c r="G8" s="113"/>
      <c r="H8" s="114"/>
      <c r="I8" s="100"/>
      <c r="J8" s="113"/>
      <c r="K8" s="114"/>
      <c r="L8" s="100"/>
      <c r="M8" s="100"/>
      <c r="N8" s="100"/>
      <c r="O8" s="100"/>
      <c r="P8" s="100"/>
      <c r="Q8" s="113"/>
      <c r="R8" s="114"/>
      <c r="S8" s="100"/>
      <c r="T8" s="100"/>
      <c r="U8" s="100"/>
      <c r="V8" s="113"/>
      <c r="W8" s="114"/>
      <c r="X8" s="100"/>
      <c r="Y8" s="100"/>
      <c r="Z8" s="113"/>
      <c r="AA8" s="17"/>
    </row>
    <row r="9" spans="2:27">
      <c r="B9" s="111"/>
      <c r="C9" s="112"/>
      <c r="D9" s="97"/>
      <c r="E9" s="100"/>
      <c r="F9" s="100"/>
      <c r="G9" s="113"/>
      <c r="H9" s="114"/>
      <c r="I9" s="100"/>
      <c r="J9" s="113"/>
      <c r="K9" s="114"/>
      <c r="L9" s="100"/>
      <c r="M9" s="100"/>
      <c r="N9" s="100"/>
      <c r="O9" s="100"/>
      <c r="P9" s="100"/>
      <c r="Q9" s="113"/>
      <c r="R9" s="114"/>
      <c r="S9" s="100"/>
      <c r="T9" s="100"/>
      <c r="U9" s="100"/>
      <c r="V9" s="113"/>
      <c r="W9" s="114"/>
      <c r="X9" s="100"/>
      <c r="Y9" s="100"/>
      <c r="Z9" s="113"/>
      <c r="AA9" s="17"/>
    </row>
    <row r="10" spans="2:27">
      <c r="B10" s="111"/>
      <c r="C10" s="112"/>
      <c r="D10" s="97"/>
      <c r="E10" s="100"/>
      <c r="F10" s="100"/>
      <c r="G10" s="113"/>
      <c r="H10" s="114"/>
      <c r="I10" s="100"/>
      <c r="J10" s="113"/>
      <c r="K10" s="114"/>
      <c r="L10" s="100"/>
      <c r="M10" s="100"/>
      <c r="N10" s="100"/>
      <c r="O10" s="100"/>
      <c r="P10" s="100"/>
      <c r="Q10" s="113"/>
      <c r="R10" s="114"/>
      <c r="S10" s="100"/>
      <c r="T10" s="100"/>
      <c r="U10" s="100"/>
      <c r="V10" s="113"/>
      <c r="W10" s="114"/>
      <c r="X10" s="100"/>
      <c r="Y10" s="100"/>
      <c r="Z10" s="113"/>
      <c r="AA10" s="17"/>
    </row>
    <row r="11" spans="2:27">
      <c r="B11" s="111"/>
      <c r="C11" s="112"/>
      <c r="D11" s="97"/>
      <c r="E11" s="100"/>
      <c r="F11" s="100"/>
      <c r="G11" s="113"/>
      <c r="H11" s="114"/>
      <c r="I11" s="100"/>
      <c r="J11" s="113"/>
      <c r="K11" s="114"/>
      <c r="L11" s="100"/>
      <c r="M11" s="100"/>
      <c r="N11" s="100"/>
      <c r="O11" s="100"/>
      <c r="P11" s="100"/>
      <c r="Q11" s="113"/>
      <c r="R11" s="114"/>
      <c r="S11" s="100"/>
      <c r="T11" s="100"/>
      <c r="U11" s="100"/>
      <c r="V11" s="113"/>
      <c r="W11" s="114"/>
      <c r="X11" s="100"/>
      <c r="Y11" s="100"/>
      <c r="Z11" s="113"/>
      <c r="AA11" s="17"/>
    </row>
    <row r="12" spans="2:27">
      <c r="B12" s="111"/>
      <c r="C12" s="112"/>
      <c r="D12" s="97"/>
      <c r="E12" s="100"/>
      <c r="F12" s="100"/>
      <c r="G12" s="113"/>
      <c r="H12" s="114"/>
      <c r="I12" s="100"/>
      <c r="J12" s="113"/>
      <c r="K12" s="114"/>
      <c r="L12" s="100"/>
      <c r="M12" s="100"/>
      <c r="N12" s="100"/>
      <c r="O12" s="100"/>
      <c r="P12" s="100"/>
      <c r="Q12" s="113"/>
      <c r="R12" s="114"/>
      <c r="S12" s="100"/>
      <c r="T12" s="100"/>
      <c r="U12" s="100"/>
      <c r="V12" s="113"/>
      <c r="W12" s="114"/>
      <c r="X12" s="100"/>
      <c r="Y12" s="100"/>
      <c r="Z12" s="113"/>
      <c r="AA12" s="17"/>
    </row>
    <row r="13" spans="2:27">
      <c r="B13" s="111"/>
      <c r="C13" s="112"/>
      <c r="D13" s="97"/>
      <c r="E13" s="100"/>
      <c r="F13" s="100"/>
      <c r="G13" s="113"/>
      <c r="H13" s="114"/>
      <c r="I13" s="100"/>
      <c r="J13" s="113"/>
      <c r="K13" s="114"/>
      <c r="L13" s="100"/>
      <c r="M13" s="100"/>
      <c r="N13" s="100"/>
      <c r="O13" s="100"/>
      <c r="P13" s="100"/>
      <c r="Q13" s="113"/>
      <c r="R13" s="114"/>
      <c r="S13" s="100"/>
      <c r="T13" s="100"/>
      <c r="U13" s="100"/>
      <c r="V13" s="113"/>
      <c r="W13" s="114"/>
      <c r="X13" s="100"/>
      <c r="Y13" s="100"/>
      <c r="Z13" s="113"/>
      <c r="AA13" s="17"/>
    </row>
    <row r="14" spans="2:27">
      <c r="B14" s="111"/>
      <c r="C14" s="112"/>
      <c r="D14" s="97"/>
      <c r="E14" s="100"/>
      <c r="F14" s="100"/>
      <c r="G14" s="113"/>
      <c r="H14" s="114"/>
      <c r="I14" s="100"/>
      <c r="J14" s="113"/>
      <c r="K14" s="114"/>
      <c r="L14" s="100"/>
      <c r="M14" s="100"/>
      <c r="N14" s="100"/>
      <c r="O14" s="100"/>
      <c r="P14" s="100"/>
      <c r="Q14" s="113"/>
      <c r="R14" s="114"/>
      <c r="S14" s="100"/>
      <c r="T14" s="100"/>
      <c r="U14" s="100"/>
      <c r="V14" s="113"/>
      <c r="W14" s="114"/>
      <c r="X14" s="100"/>
      <c r="Y14" s="100"/>
      <c r="Z14" s="113"/>
      <c r="AA14" s="17"/>
    </row>
    <row r="15" spans="2:27">
      <c r="B15" s="111"/>
      <c r="C15" s="112"/>
      <c r="D15" s="97"/>
      <c r="E15" s="100"/>
      <c r="F15" s="100"/>
      <c r="G15" s="113"/>
      <c r="H15" s="114"/>
      <c r="I15" s="100"/>
      <c r="J15" s="113"/>
      <c r="K15" s="114"/>
      <c r="L15" s="100"/>
      <c r="M15" s="100"/>
      <c r="N15" s="100"/>
      <c r="O15" s="100"/>
      <c r="P15" s="100"/>
      <c r="Q15" s="113"/>
      <c r="R15" s="114"/>
      <c r="S15" s="100"/>
      <c r="T15" s="100"/>
      <c r="U15" s="100"/>
      <c r="V15" s="113"/>
      <c r="W15" s="114"/>
      <c r="X15" s="100"/>
      <c r="Y15" s="100"/>
      <c r="Z15" s="113"/>
      <c r="AA15" s="17"/>
    </row>
    <row r="16" spans="2:27">
      <c r="B16" s="111"/>
      <c r="C16" s="112"/>
      <c r="D16" s="97"/>
      <c r="E16" s="100"/>
      <c r="F16" s="100"/>
      <c r="G16" s="113"/>
      <c r="H16" s="114"/>
      <c r="I16" s="100"/>
      <c r="J16" s="113"/>
      <c r="K16" s="114"/>
      <c r="L16" s="100"/>
      <c r="M16" s="100"/>
      <c r="N16" s="100"/>
      <c r="O16" s="100"/>
      <c r="P16" s="100"/>
      <c r="Q16" s="113"/>
      <c r="R16" s="114"/>
      <c r="S16" s="100"/>
      <c r="T16" s="100"/>
      <c r="U16" s="100"/>
      <c r="V16" s="113"/>
      <c r="W16" s="114"/>
      <c r="X16" s="100"/>
      <c r="Y16" s="100"/>
      <c r="Z16" s="113"/>
      <c r="AA16" s="17"/>
    </row>
    <row r="17" spans="2:27">
      <c r="B17" s="111"/>
      <c r="C17" s="112"/>
      <c r="D17" s="97"/>
      <c r="E17" s="100"/>
      <c r="F17" s="100"/>
      <c r="G17" s="113"/>
      <c r="H17" s="114"/>
      <c r="I17" s="100"/>
      <c r="J17" s="113"/>
      <c r="K17" s="114"/>
      <c r="L17" s="100"/>
      <c r="M17" s="100"/>
      <c r="N17" s="100"/>
      <c r="O17" s="100"/>
      <c r="P17" s="100"/>
      <c r="Q17" s="113"/>
      <c r="R17" s="114"/>
      <c r="S17" s="100"/>
      <c r="T17" s="100"/>
      <c r="U17" s="100"/>
      <c r="V17" s="113"/>
      <c r="W17" s="114"/>
      <c r="X17" s="100"/>
      <c r="Y17" s="100"/>
      <c r="Z17" s="113"/>
      <c r="AA17" s="17"/>
    </row>
    <row r="18" spans="2:27">
      <c r="B18" s="111"/>
      <c r="C18" s="112"/>
      <c r="D18" s="97"/>
      <c r="E18" s="100"/>
      <c r="F18" s="100"/>
      <c r="G18" s="113"/>
      <c r="H18" s="114"/>
      <c r="I18" s="100"/>
      <c r="J18" s="113"/>
      <c r="K18" s="114"/>
      <c r="L18" s="100"/>
      <c r="M18" s="100"/>
      <c r="N18" s="100"/>
      <c r="O18" s="100"/>
      <c r="P18" s="100"/>
      <c r="Q18" s="113"/>
      <c r="R18" s="114"/>
      <c r="S18" s="100"/>
      <c r="T18" s="100"/>
      <c r="U18" s="100"/>
      <c r="V18" s="113"/>
      <c r="W18" s="114"/>
      <c r="X18" s="100"/>
      <c r="Y18" s="100"/>
      <c r="Z18" s="113"/>
      <c r="AA18" s="17"/>
    </row>
    <row r="19" spans="2:27">
      <c r="B19" s="111"/>
      <c r="C19" s="112"/>
      <c r="D19" s="97"/>
      <c r="E19" s="100"/>
      <c r="F19" s="100"/>
      <c r="G19" s="113"/>
      <c r="H19" s="114"/>
      <c r="I19" s="100"/>
      <c r="J19" s="113"/>
      <c r="K19" s="114"/>
      <c r="L19" s="100"/>
      <c r="M19" s="100"/>
      <c r="N19" s="100"/>
      <c r="O19" s="100"/>
      <c r="P19" s="100"/>
      <c r="Q19" s="113"/>
      <c r="R19" s="114"/>
      <c r="S19" s="100"/>
      <c r="T19" s="100"/>
      <c r="U19" s="100"/>
      <c r="V19" s="113"/>
      <c r="W19" s="114"/>
      <c r="X19" s="100"/>
      <c r="Y19" s="100"/>
      <c r="Z19" s="113"/>
      <c r="AA19" s="17"/>
    </row>
    <row r="20" spans="2:27">
      <c r="B20" s="111"/>
      <c r="C20" s="112"/>
      <c r="D20" s="97"/>
      <c r="E20" s="100"/>
      <c r="F20" s="100"/>
      <c r="G20" s="113"/>
      <c r="H20" s="114"/>
      <c r="I20" s="100"/>
      <c r="J20" s="113"/>
      <c r="K20" s="114"/>
      <c r="L20" s="100"/>
      <c r="M20" s="100"/>
      <c r="N20" s="100"/>
      <c r="O20" s="100"/>
      <c r="P20" s="100"/>
      <c r="Q20" s="113"/>
      <c r="R20" s="114"/>
      <c r="S20" s="100"/>
      <c r="T20" s="100"/>
      <c r="U20" s="100"/>
      <c r="V20" s="113"/>
      <c r="W20" s="114"/>
      <c r="X20" s="100"/>
      <c r="Y20" s="100"/>
      <c r="Z20" s="113"/>
      <c r="AA20" s="17"/>
    </row>
    <row r="21" spans="2:27">
      <c r="B21" s="111"/>
      <c r="C21" s="112"/>
      <c r="D21" s="97"/>
      <c r="E21" s="100"/>
      <c r="F21" s="100"/>
      <c r="G21" s="113"/>
      <c r="H21" s="114"/>
      <c r="I21" s="100"/>
      <c r="J21" s="113"/>
      <c r="K21" s="114"/>
      <c r="L21" s="100"/>
      <c r="M21" s="100"/>
      <c r="N21" s="100"/>
      <c r="O21" s="100"/>
      <c r="P21" s="100"/>
      <c r="Q21" s="113"/>
      <c r="R21" s="114"/>
      <c r="S21" s="100"/>
      <c r="T21" s="100"/>
      <c r="U21" s="100"/>
      <c r="V21" s="113"/>
      <c r="W21" s="114"/>
      <c r="X21" s="100"/>
      <c r="Y21" s="100"/>
      <c r="Z21" s="113"/>
      <c r="AA21" s="17"/>
    </row>
    <row r="22" spans="2:27">
      <c r="B22" s="111"/>
      <c r="C22" s="112"/>
      <c r="D22" s="97"/>
      <c r="E22" s="100"/>
      <c r="F22" s="100"/>
      <c r="G22" s="113"/>
      <c r="H22" s="114"/>
      <c r="I22" s="100"/>
      <c r="J22" s="113"/>
      <c r="K22" s="114"/>
      <c r="L22" s="100"/>
      <c r="M22" s="100"/>
      <c r="N22" s="100"/>
      <c r="O22" s="100"/>
      <c r="P22" s="100"/>
      <c r="Q22" s="113"/>
      <c r="R22" s="114"/>
      <c r="S22" s="100"/>
      <c r="T22" s="100"/>
      <c r="U22" s="100"/>
      <c r="V22" s="113"/>
      <c r="W22" s="114"/>
      <c r="X22" s="100"/>
      <c r="Y22" s="100"/>
      <c r="Z22" s="113"/>
      <c r="AA22" s="17"/>
    </row>
    <row r="23" spans="2:27">
      <c r="B23" s="111"/>
      <c r="C23" s="112"/>
      <c r="D23" s="97"/>
      <c r="E23" s="100"/>
      <c r="F23" s="100"/>
      <c r="G23" s="113"/>
      <c r="H23" s="114"/>
      <c r="I23" s="100"/>
      <c r="J23" s="113"/>
      <c r="K23" s="114"/>
      <c r="L23" s="100"/>
      <c r="M23" s="100"/>
      <c r="N23" s="100"/>
      <c r="O23" s="100"/>
      <c r="P23" s="100"/>
      <c r="Q23" s="113"/>
      <c r="R23" s="114"/>
      <c r="S23" s="100"/>
      <c r="T23" s="100"/>
      <c r="U23" s="100"/>
      <c r="V23" s="113"/>
      <c r="W23" s="114"/>
      <c r="X23" s="100"/>
      <c r="Y23" s="100"/>
      <c r="Z23" s="113"/>
      <c r="AA23" s="17"/>
    </row>
    <row r="24" spans="2:27">
      <c r="B24" s="111"/>
      <c r="C24" s="112"/>
      <c r="D24" s="97"/>
      <c r="E24" s="100"/>
      <c r="F24" s="100"/>
      <c r="G24" s="113"/>
      <c r="H24" s="114"/>
      <c r="I24" s="100"/>
      <c r="J24" s="113"/>
      <c r="K24" s="114"/>
      <c r="L24" s="100"/>
      <c r="M24" s="100"/>
      <c r="N24" s="100"/>
      <c r="O24" s="100"/>
      <c r="P24" s="100"/>
      <c r="Q24" s="113"/>
      <c r="R24" s="114"/>
      <c r="S24" s="100"/>
      <c r="T24" s="100"/>
      <c r="U24" s="100"/>
      <c r="V24" s="113"/>
      <c r="W24" s="114"/>
      <c r="X24" s="100"/>
      <c r="Y24" s="100"/>
      <c r="Z24" s="113"/>
      <c r="AA24" s="17"/>
    </row>
    <row r="25" spans="2:27">
      <c r="B25" s="111"/>
      <c r="C25" s="112"/>
      <c r="D25" s="97"/>
      <c r="E25" s="100"/>
      <c r="F25" s="100"/>
      <c r="G25" s="113"/>
      <c r="H25" s="114"/>
      <c r="I25" s="100"/>
      <c r="J25" s="113"/>
      <c r="K25" s="114"/>
      <c r="L25" s="100"/>
      <c r="M25" s="100"/>
      <c r="N25" s="100"/>
      <c r="O25" s="100"/>
      <c r="P25" s="100"/>
      <c r="Q25" s="113"/>
      <c r="R25" s="114"/>
      <c r="S25" s="100"/>
      <c r="T25" s="100"/>
      <c r="U25" s="100"/>
      <c r="V25" s="113"/>
      <c r="W25" s="114"/>
      <c r="X25" s="100"/>
      <c r="Y25" s="100"/>
      <c r="Z25" s="113"/>
      <c r="AA25" s="17"/>
    </row>
    <row r="26" spans="2:27">
      <c r="B26" s="111"/>
      <c r="C26" s="112"/>
      <c r="D26" s="97"/>
      <c r="E26" s="100"/>
      <c r="F26" s="100"/>
      <c r="G26" s="113"/>
      <c r="H26" s="114"/>
      <c r="I26" s="100"/>
      <c r="J26" s="113"/>
      <c r="K26" s="114"/>
      <c r="L26" s="100"/>
      <c r="M26" s="100"/>
      <c r="N26" s="100"/>
      <c r="O26" s="100"/>
      <c r="P26" s="100"/>
      <c r="Q26" s="113"/>
      <c r="R26" s="114"/>
      <c r="S26" s="100"/>
      <c r="T26" s="100"/>
      <c r="U26" s="100"/>
      <c r="V26" s="113"/>
      <c r="W26" s="114"/>
      <c r="X26" s="100"/>
      <c r="Y26" s="100"/>
      <c r="Z26" s="113"/>
      <c r="AA26" s="17"/>
    </row>
    <row r="27" spans="2:27">
      <c r="B27" s="111"/>
      <c r="C27" s="112"/>
      <c r="D27" s="97"/>
      <c r="E27" s="100"/>
      <c r="F27" s="100"/>
      <c r="G27" s="113"/>
      <c r="H27" s="114"/>
      <c r="I27" s="100"/>
      <c r="J27" s="113"/>
      <c r="K27" s="114"/>
      <c r="L27" s="100"/>
      <c r="M27" s="100"/>
      <c r="N27" s="100"/>
      <c r="O27" s="100"/>
      <c r="P27" s="100"/>
      <c r="Q27" s="113"/>
      <c r="R27" s="114"/>
      <c r="S27" s="100"/>
      <c r="T27" s="100"/>
      <c r="U27" s="100"/>
      <c r="V27" s="113"/>
      <c r="W27" s="114"/>
      <c r="X27" s="100"/>
      <c r="Y27" s="100"/>
      <c r="Z27" s="113"/>
      <c r="AA27" s="17"/>
    </row>
    <row r="28" spans="2:27">
      <c r="B28" s="111"/>
      <c r="C28" s="112"/>
      <c r="D28" s="97"/>
      <c r="E28" s="100"/>
      <c r="F28" s="100"/>
      <c r="G28" s="113"/>
      <c r="H28" s="114"/>
      <c r="I28" s="100"/>
      <c r="J28" s="113"/>
      <c r="K28" s="114"/>
      <c r="L28" s="100"/>
      <c r="M28" s="100"/>
      <c r="N28" s="100"/>
      <c r="O28" s="100"/>
      <c r="P28" s="100"/>
      <c r="Q28" s="113"/>
      <c r="R28" s="114"/>
      <c r="S28" s="100"/>
      <c r="T28" s="100"/>
      <c r="U28" s="100"/>
      <c r="V28" s="113"/>
      <c r="W28" s="114"/>
      <c r="X28" s="100"/>
      <c r="Y28" s="100"/>
      <c r="Z28" s="113"/>
      <c r="AA28" s="17"/>
    </row>
    <row r="29" spans="2:27">
      <c r="B29" s="111"/>
      <c r="C29" s="112"/>
      <c r="D29" s="97"/>
      <c r="E29" s="100"/>
      <c r="F29" s="100"/>
      <c r="G29" s="113"/>
      <c r="H29" s="114"/>
      <c r="I29" s="100"/>
      <c r="J29" s="113"/>
      <c r="K29" s="114"/>
      <c r="L29" s="100"/>
      <c r="M29" s="100"/>
      <c r="N29" s="100"/>
      <c r="O29" s="100"/>
      <c r="P29" s="100"/>
      <c r="Q29" s="113"/>
      <c r="R29" s="114"/>
      <c r="S29" s="100"/>
      <c r="T29" s="100"/>
      <c r="U29" s="100"/>
      <c r="V29" s="113"/>
      <c r="W29" s="114"/>
      <c r="X29" s="100"/>
      <c r="Y29" s="100"/>
      <c r="Z29" s="113"/>
      <c r="AA29" s="17"/>
    </row>
    <row r="30" spans="2:27">
      <c r="B30" s="111"/>
      <c r="C30" s="112"/>
      <c r="D30" s="97"/>
      <c r="E30" s="100"/>
      <c r="F30" s="100"/>
      <c r="G30" s="113"/>
      <c r="H30" s="114"/>
      <c r="I30" s="100"/>
      <c r="J30" s="113"/>
      <c r="K30" s="114"/>
      <c r="L30" s="100"/>
      <c r="M30" s="100"/>
      <c r="N30" s="100"/>
      <c r="O30" s="100"/>
      <c r="P30" s="100"/>
      <c r="Q30" s="113"/>
      <c r="R30" s="114"/>
      <c r="S30" s="100"/>
      <c r="T30" s="100"/>
      <c r="U30" s="100"/>
      <c r="V30" s="113"/>
      <c r="W30" s="114"/>
      <c r="X30" s="100"/>
      <c r="Y30" s="100"/>
      <c r="Z30" s="113"/>
      <c r="AA30" s="17"/>
    </row>
    <row r="31" spans="2:27">
      <c r="B31" s="111"/>
      <c r="C31" s="112"/>
      <c r="D31" s="97"/>
      <c r="E31" s="100"/>
      <c r="F31" s="100"/>
      <c r="G31" s="113"/>
      <c r="H31" s="114"/>
      <c r="I31" s="100"/>
      <c r="J31" s="113"/>
      <c r="K31" s="114"/>
      <c r="L31" s="100"/>
      <c r="M31" s="100"/>
      <c r="N31" s="100"/>
      <c r="O31" s="100"/>
      <c r="P31" s="100"/>
      <c r="Q31" s="113"/>
      <c r="R31" s="114"/>
      <c r="S31" s="100"/>
      <c r="T31" s="100"/>
      <c r="U31" s="100"/>
      <c r="V31" s="113"/>
      <c r="W31" s="114"/>
      <c r="X31" s="100"/>
      <c r="Y31" s="100"/>
      <c r="Z31" s="113"/>
      <c r="AA31" s="17"/>
    </row>
    <row r="32" spans="2:27">
      <c r="B32" s="111"/>
      <c r="C32" s="112"/>
      <c r="D32" s="97"/>
      <c r="E32" s="100"/>
      <c r="F32" s="100"/>
      <c r="G32" s="113"/>
      <c r="H32" s="114"/>
      <c r="I32" s="100"/>
      <c r="J32" s="113"/>
      <c r="K32" s="114"/>
      <c r="L32" s="100"/>
      <c r="M32" s="100"/>
      <c r="N32" s="100"/>
      <c r="O32" s="100"/>
      <c r="P32" s="100"/>
      <c r="Q32" s="113"/>
      <c r="R32" s="114"/>
      <c r="S32" s="100"/>
      <c r="T32" s="100"/>
      <c r="U32" s="100"/>
      <c r="V32" s="113"/>
      <c r="W32" s="114"/>
      <c r="X32" s="100"/>
      <c r="Y32" s="100"/>
      <c r="Z32" s="113"/>
      <c r="AA32" s="17"/>
    </row>
    <row r="33" spans="2:27">
      <c r="B33" s="111"/>
      <c r="C33" s="112"/>
      <c r="D33" s="97"/>
      <c r="E33" s="100"/>
      <c r="F33" s="100"/>
      <c r="G33" s="113"/>
      <c r="H33" s="114"/>
      <c r="I33" s="100"/>
      <c r="J33" s="113"/>
      <c r="K33" s="114"/>
      <c r="L33" s="100"/>
      <c r="M33" s="100"/>
      <c r="N33" s="100"/>
      <c r="O33" s="100"/>
      <c r="P33" s="100"/>
      <c r="Q33" s="113"/>
      <c r="R33" s="114"/>
      <c r="S33" s="100"/>
      <c r="T33" s="100"/>
      <c r="U33" s="100"/>
      <c r="V33" s="113"/>
      <c r="W33" s="114"/>
      <c r="X33" s="100"/>
      <c r="Y33" s="100"/>
      <c r="Z33" s="113"/>
      <c r="AA33" s="17"/>
    </row>
    <row r="34" spans="2:27">
      <c r="B34" s="111"/>
      <c r="C34" s="112"/>
      <c r="D34" s="97"/>
      <c r="E34" s="100"/>
      <c r="F34" s="100"/>
      <c r="G34" s="113"/>
      <c r="H34" s="114"/>
      <c r="I34" s="100"/>
      <c r="J34" s="113"/>
      <c r="K34" s="114"/>
      <c r="L34" s="100"/>
      <c r="M34" s="100"/>
      <c r="N34" s="100"/>
      <c r="O34" s="100"/>
      <c r="P34" s="100"/>
      <c r="Q34" s="113"/>
      <c r="R34" s="114"/>
      <c r="S34" s="100"/>
      <c r="T34" s="100"/>
      <c r="U34" s="100"/>
      <c r="V34" s="113"/>
      <c r="W34" s="114"/>
      <c r="X34" s="100"/>
      <c r="Y34" s="100"/>
      <c r="Z34" s="113"/>
      <c r="AA34" s="17"/>
    </row>
    <row r="35" spans="2:27">
      <c r="B35" s="111"/>
      <c r="C35" s="112"/>
      <c r="D35" s="97"/>
      <c r="E35" s="100"/>
      <c r="F35" s="100"/>
      <c r="G35" s="113"/>
      <c r="H35" s="114"/>
      <c r="I35" s="100"/>
      <c r="J35" s="113"/>
      <c r="K35" s="114"/>
      <c r="L35" s="100"/>
      <c r="M35" s="100"/>
      <c r="N35" s="100"/>
      <c r="O35" s="100"/>
      <c r="P35" s="100"/>
      <c r="Q35" s="113"/>
      <c r="R35" s="114"/>
      <c r="S35" s="100"/>
      <c r="T35" s="100"/>
      <c r="U35" s="100"/>
      <c r="V35" s="113"/>
      <c r="W35" s="114"/>
      <c r="X35" s="100"/>
      <c r="Y35" s="100"/>
      <c r="Z35" s="113"/>
      <c r="AA35" s="17"/>
    </row>
    <row r="36" spans="2:27">
      <c r="B36" s="111"/>
      <c r="C36" s="112"/>
      <c r="D36" s="97"/>
      <c r="E36" s="100"/>
      <c r="F36" s="100"/>
      <c r="G36" s="113"/>
      <c r="H36" s="114"/>
      <c r="I36" s="100"/>
      <c r="J36" s="113"/>
      <c r="K36" s="114"/>
      <c r="L36" s="100"/>
      <c r="M36" s="100"/>
      <c r="N36" s="100"/>
      <c r="O36" s="100"/>
      <c r="P36" s="100"/>
      <c r="Q36" s="113"/>
      <c r="R36" s="114"/>
      <c r="S36" s="100"/>
      <c r="T36" s="100"/>
      <c r="U36" s="100"/>
      <c r="V36" s="113"/>
      <c r="W36" s="114"/>
      <c r="X36" s="100"/>
      <c r="Y36" s="100"/>
      <c r="Z36" s="113"/>
      <c r="AA36" s="17"/>
    </row>
    <row r="37" spans="2:27">
      <c r="B37" s="111"/>
      <c r="C37" s="112"/>
      <c r="D37" s="97"/>
      <c r="E37" s="100"/>
      <c r="F37" s="100"/>
      <c r="G37" s="113"/>
      <c r="H37" s="114"/>
      <c r="I37" s="100"/>
      <c r="J37" s="113"/>
      <c r="K37" s="114"/>
      <c r="L37" s="100"/>
      <c r="M37" s="100"/>
      <c r="N37" s="100"/>
      <c r="O37" s="100"/>
      <c r="P37" s="100"/>
      <c r="Q37" s="113"/>
      <c r="R37" s="114"/>
      <c r="S37" s="100"/>
      <c r="T37" s="100"/>
      <c r="U37" s="100"/>
      <c r="V37" s="113"/>
      <c r="W37" s="114"/>
      <c r="X37" s="100"/>
      <c r="Y37" s="100"/>
      <c r="Z37" s="113"/>
      <c r="AA37" s="17"/>
    </row>
    <row r="38" spans="2:27">
      <c r="B38" s="111"/>
      <c r="C38" s="112"/>
      <c r="D38" s="97"/>
      <c r="E38" s="100"/>
      <c r="F38" s="100"/>
      <c r="G38" s="113"/>
      <c r="H38" s="114"/>
      <c r="I38" s="100"/>
      <c r="J38" s="113"/>
      <c r="K38" s="114"/>
      <c r="L38" s="100"/>
      <c r="M38" s="100"/>
      <c r="N38" s="100"/>
      <c r="O38" s="100"/>
      <c r="P38" s="100"/>
      <c r="Q38" s="113"/>
      <c r="R38" s="114"/>
      <c r="S38" s="100"/>
      <c r="T38" s="100"/>
      <c r="U38" s="100"/>
      <c r="V38" s="113"/>
      <c r="W38" s="114"/>
      <c r="X38" s="100"/>
      <c r="Y38" s="100"/>
      <c r="Z38" s="113"/>
      <c r="AA38" s="17"/>
    </row>
  </sheetData>
  <sheetProtection formatCells="0" formatColumns="0" formatRows="0" insertColumns="0" insertRows="0" insertHyperlinks="0" deleteColumns="0" deleteRows="0" sort="0" autoFilter="0" pivotTables="0"/>
  <protectedRanges>
    <protectedRange sqref="X5:Y38" name="範囲10"/>
    <protectedRange sqref="L4:N38" name="範囲5"/>
    <protectedRange sqref="J4:J38" name="範囲4"/>
    <protectedRange sqref="D4:E38" name="範囲2"/>
    <protectedRange sqref="H5:H38" name="範囲9"/>
  </protectedRanges>
  <mergeCells count="9">
    <mergeCell ref="AA3:AA4"/>
    <mergeCell ref="R3:V3"/>
    <mergeCell ref="W3:Z3"/>
    <mergeCell ref="B2:G2"/>
    <mergeCell ref="H2:K2"/>
    <mergeCell ref="B3:C3"/>
    <mergeCell ref="D3:G3"/>
    <mergeCell ref="H3:J3"/>
    <mergeCell ref="K3:Q3"/>
  </mergeCells>
  <phoneticPr fontId="3"/>
  <dataValidations count="4">
    <dataValidation type="decimal" allowBlank="1" showInputMessage="1" showErrorMessage="1" sqref="D5:D38">
      <formula1>-9999999.99</formula1>
      <formula2>9999999.99</formula2>
    </dataValidation>
    <dataValidation type="whole" allowBlank="1" showInputMessage="1" showErrorMessage="1" sqref="G5:H38">
      <formula1>-9999999</formula1>
      <formula2>99999999</formula2>
    </dataValidation>
    <dataValidation type="whole" allowBlank="1" showInputMessage="1" showErrorMessage="1" sqref="E5:E38 X5:Y38">
      <formula1>-999999999</formula1>
      <formula2>999999999</formula2>
    </dataValidation>
    <dataValidation type="whole" allowBlank="1" showInputMessage="1" showErrorMessage="1" sqref="L5:N38 J5:J38">
      <formula1>-99999999</formula1>
      <formula2>99999999</formula2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0"/>
  <sheetViews>
    <sheetView workbookViewId="0">
      <selection activeCell="L40" sqref="L40"/>
    </sheetView>
  </sheetViews>
  <sheetFormatPr defaultRowHeight="13.5"/>
  <cols>
    <col min="5" max="5" width="4.25" style="37" customWidth="1"/>
    <col min="6" max="9" width="10.25" bestFit="1" customWidth="1"/>
    <col min="11" max="11" width="10.25" bestFit="1" customWidth="1"/>
  </cols>
  <sheetData>
    <row r="1" spans="1:14">
      <c r="A1" s="144"/>
      <c r="B1" s="144"/>
      <c r="C1" s="144"/>
      <c r="D1" s="144"/>
      <c r="E1" s="144"/>
      <c r="F1" s="144"/>
      <c r="G1" s="144" t="s">
        <v>93</v>
      </c>
      <c r="H1" s="144"/>
      <c r="I1" s="144"/>
      <c r="J1" s="144"/>
      <c r="K1" s="144" t="s">
        <v>94</v>
      </c>
      <c r="L1" s="144"/>
    </row>
    <row r="2" spans="1:14">
      <c r="A2" s="144"/>
      <c r="B2" s="144"/>
      <c r="C2" s="144"/>
      <c r="D2" s="144"/>
      <c r="E2" s="144"/>
      <c r="F2" s="144"/>
      <c r="G2" s="145" t="s">
        <v>90</v>
      </c>
      <c r="H2" s="146"/>
      <c r="I2" s="145" t="s">
        <v>91</v>
      </c>
      <c r="J2" s="146"/>
      <c r="K2" s="145" t="s">
        <v>92</v>
      </c>
      <c r="L2" s="146"/>
    </row>
    <row r="3" spans="1:14" ht="14.25" thickBot="1">
      <c r="A3" s="45" t="s">
        <v>83</v>
      </c>
      <c r="B3" s="45" t="s">
        <v>84</v>
      </c>
      <c r="C3" s="45" t="s">
        <v>85</v>
      </c>
      <c r="D3" s="45" t="s">
        <v>86</v>
      </c>
      <c r="E3" s="45"/>
      <c r="F3" s="45" t="s">
        <v>87</v>
      </c>
      <c r="G3" s="46" t="s">
        <v>88</v>
      </c>
      <c r="H3" s="47" t="s">
        <v>89</v>
      </c>
      <c r="I3" s="46" t="s">
        <v>88</v>
      </c>
      <c r="J3" s="47" t="s">
        <v>89</v>
      </c>
      <c r="K3" s="46" t="s">
        <v>88</v>
      </c>
      <c r="L3" s="47" t="s">
        <v>89</v>
      </c>
    </row>
    <row r="4" spans="1:14" ht="14.25" thickTop="1">
      <c r="A4" s="42">
        <v>1</v>
      </c>
      <c r="B4" s="43">
        <v>58000</v>
      </c>
      <c r="C4" s="43">
        <v>1930</v>
      </c>
      <c r="D4" s="43"/>
      <c r="E4" s="44" t="s">
        <v>52</v>
      </c>
      <c r="F4" s="43">
        <v>63000</v>
      </c>
      <c r="G4" s="48">
        <v>5782.6</v>
      </c>
      <c r="H4" s="49">
        <v>2891.3</v>
      </c>
      <c r="I4" s="48">
        <v>6681.6</v>
      </c>
      <c r="J4" s="49">
        <v>3340.8</v>
      </c>
      <c r="K4" s="53"/>
      <c r="L4" s="54"/>
      <c r="M4" s="36"/>
    </row>
    <row r="5" spans="1:14">
      <c r="A5" s="39">
        <v>2</v>
      </c>
      <c r="B5" s="40">
        <v>68000</v>
      </c>
      <c r="C5" s="40">
        <v>2270</v>
      </c>
      <c r="D5" s="40">
        <v>63000</v>
      </c>
      <c r="E5" s="38" t="s">
        <v>52</v>
      </c>
      <c r="F5" s="40">
        <v>73000</v>
      </c>
      <c r="G5" s="50">
        <v>6779.6</v>
      </c>
      <c r="H5" s="51">
        <v>3389.8</v>
      </c>
      <c r="I5" s="50">
        <v>7833.6</v>
      </c>
      <c r="J5" s="51">
        <v>3916.8</v>
      </c>
      <c r="K5" s="55"/>
      <c r="L5" s="52"/>
      <c r="M5" s="36"/>
    </row>
    <row r="6" spans="1:14">
      <c r="A6" s="39">
        <v>3</v>
      </c>
      <c r="B6" s="40">
        <v>78000</v>
      </c>
      <c r="C6" s="40">
        <v>2600</v>
      </c>
      <c r="D6" s="40">
        <v>73000</v>
      </c>
      <c r="E6" s="38" t="s">
        <v>52</v>
      </c>
      <c r="F6" s="40">
        <v>83000</v>
      </c>
      <c r="G6" s="50">
        <v>7776.6</v>
      </c>
      <c r="H6" s="51">
        <v>3888.3</v>
      </c>
      <c r="I6" s="50">
        <v>8985.6</v>
      </c>
      <c r="J6" s="51">
        <v>4492.8</v>
      </c>
      <c r="K6" s="55"/>
      <c r="L6" s="52"/>
      <c r="M6" s="36"/>
    </row>
    <row r="7" spans="1:14">
      <c r="A7" s="39">
        <v>4</v>
      </c>
      <c r="B7" s="40">
        <v>88000</v>
      </c>
      <c r="C7" s="40">
        <v>2930</v>
      </c>
      <c r="D7" s="40">
        <v>83000</v>
      </c>
      <c r="E7" s="38" t="s">
        <v>52</v>
      </c>
      <c r="F7" s="40">
        <v>93000</v>
      </c>
      <c r="G7" s="50">
        <v>8773.6</v>
      </c>
      <c r="H7" s="51">
        <v>4386.8</v>
      </c>
      <c r="I7" s="50">
        <v>10137.6</v>
      </c>
      <c r="J7" s="51">
        <v>5068.8</v>
      </c>
      <c r="K7" s="55"/>
      <c r="L7" s="52"/>
      <c r="M7" s="36"/>
    </row>
    <row r="8" spans="1:14">
      <c r="A8" s="39" t="s">
        <v>53</v>
      </c>
      <c r="B8" s="40">
        <v>98000</v>
      </c>
      <c r="C8" s="40">
        <v>3270</v>
      </c>
      <c r="D8" s="40">
        <v>93000</v>
      </c>
      <c r="E8" s="38" t="s">
        <v>52</v>
      </c>
      <c r="F8" s="40">
        <v>101000</v>
      </c>
      <c r="G8" s="50">
        <v>9770.6</v>
      </c>
      <c r="H8" s="51">
        <v>4885.3</v>
      </c>
      <c r="I8" s="50">
        <v>11289.6</v>
      </c>
      <c r="J8" s="51">
        <v>5644.8</v>
      </c>
      <c r="K8" s="50">
        <v>16430.68</v>
      </c>
      <c r="L8" s="51">
        <v>8215.34</v>
      </c>
      <c r="M8" s="36"/>
      <c r="N8" s="36"/>
    </row>
    <row r="9" spans="1:14">
      <c r="A9" s="39" t="s">
        <v>54</v>
      </c>
      <c r="B9" s="40">
        <v>104000</v>
      </c>
      <c r="C9" s="40">
        <v>3470</v>
      </c>
      <c r="D9" s="40">
        <v>101000</v>
      </c>
      <c r="E9" s="38" t="s">
        <v>52</v>
      </c>
      <c r="F9" s="40">
        <v>107000</v>
      </c>
      <c r="G9" s="50">
        <v>10368.799999999999</v>
      </c>
      <c r="H9" s="51">
        <v>5184.3999999999996</v>
      </c>
      <c r="I9" s="50">
        <v>11980.8</v>
      </c>
      <c r="J9" s="51">
        <v>5990.4</v>
      </c>
      <c r="K9" s="50">
        <v>17436.64</v>
      </c>
      <c r="L9" s="51">
        <v>8718.32</v>
      </c>
      <c r="M9" s="36"/>
      <c r="N9" s="36"/>
    </row>
    <row r="10" spans="1:14">
      <c r="A10" s="39" t="s">
        <v>55</v>
      </c>
      <c r="B10" s="40">
        <v>110000</v>
      </c>
      <c r="C10" s="40">
        <v>3670</v>
      </c>
      <c r="D10" s="40">
        <v>107000</v>
      </c>
      <c r="E10" s="38" t="s">
        <v>52</v>
      </c>
      <c r="F10" s="40">
        <v>114000</v>
      </c>
      <c r="G10" s="50">
        <v>10967</v>
      </c>
      <c r="H10" s="51">
        <v>5483.5</v>
      </c>
      <c r="I10" s="50">
        <v>12672</v>
      </c>
      <c r="J10" s="51">
        <v>6336</v>
      </c>
      <c r="K10" s="50">
        <v>18442.599999999999</v>
      </c>
      <c r="L10" s="51">
        <v>9221.2999999999993</v>
      </c>
      <c r="M10" s="36"/>
      <c r="N10" s="36"/>
    </row>
    <row r="11" spans="1:14">
      <c r="A11" s="39" t="s">
        <v>56</v>
      </c>
      <c r="B11" s="40">
        <v>118000</v>
      </c>
      <c r="C11" s="40">
        <v>3930</v>
      </c>
      <c r="D11" s="40">
        <v>114000</v>
      </c>
      <c r="E11" s="38" t="s">
        <v>52</v>
      </c>
      <c r="F11" s="40">
        <v>122000</v>
      </c>
      <c r="G11" s="50">
        <v>11764.6</v>
      </c>
      <c r="H11" s="51">
        <v>5882.3</v>
      </c>
      <c r="I11" s="50">
        <v>13593.6</v>
      </c>
      <c r="J11" s="51">
        <v>6796.8</v>
      </c>
      <c r="K11" s="50">
        <v>19783.88</v>
      </c>
      <c r="L11" s="51">
        <v>9891.94</v>
      </c>
      <c r="M11" s="36"/>
      <c r="N11" s="36"/>
    </row>
    <row r="12" spans="1:14">
      <c r="A12" s="39" t="s">
        <v>57</v>
      </c>
      <c r="B12" s="40">
        <v>126000</v>
      </c>
      <c r="C12" s="40">
        <v>4200</v>
      </c>
      <c r="D12" s="40">
        <v>122000</v>
      </c>
      <c r="E12" s="38" t="s">
        <v>52</v>
      </c>
      <c r="F12" s="40">
        <v>130000</v>
      </c>
      <c r="G12" s="50">
        <v>12562.2</v>
      </c>
      <c r="H12" s="51">
        <v>6281.1</v>
      </c>
      <c r="I12" s="50">
        <v>14515.2</v>
      </c>
      <c r="J12" s="51">
        <v>7257.6</v>
      </c>
      <c r="K12" s="50">
        <v>21125.16</v>
      </c>
      <c r="L12" s="51">
        <v>10562.58</v>
      </c>
      <c r="M12" s="36"/>
      <c r="N12" s="36"/>
    </row>
    <row r="13" spans="1:14">
      <c r="A13" s="39" t="s">
        <v>58</v>
      </c>
      <c r="B13" s="40">
        <v>134000</v>
      </c>
      <c r="C13" s="40">
        <v>4470</v>
      </c>
      <c r="D13" s="40">
        <v>130000</v>
      </c>
      <c r="E13" s="38" t="s">
        <v>52</v>
      </c>
      <c r="F13" s="40">
        <v>138000</v>
      </c>
      <c r="G13" s="50">
        <v>13359.8</v>
      </c>
      <c r="H13" s="51">
        <v>6679.9</v>
      </c>
      <c r="I13" s="50">
        <v>15436.8</v>
      </c>
      <c r="J13" s="51">
        <v>7718.4</v>
      </c>
      <c r="K13" s="50">
        <v>22466.44</v>
      </c>
      <c r="L13" s="51">
        <v>11233.22</v>
      </c>
      <c r="M13" s="36"/>
      <c r="N13" s="36"/>
    </row>
    <row r="14" spans="1:14">
      <c r="A14" s="39" t="s">
        <v>59</v>
      </c>
      <c r="B14" s="40">
        <v>142000</v>
      </c>
      <c r="C14" s="40">
        <v>4730</v>
      </c>
      <c r="D14" s="40">
        <v>138000</v>
      </c>
      <c r="E14" s="38" t="s">
        <v>52</v>
      </c>
      <c r="F14" s="40">
        <v>146000</v>
      </c>
      <c r="G14" s="50">
        <v>14157.4</v>
      </c>
      <c r="H14" s="51">
        <v>7078.7</v>
      </c>
      <c r="I14" s="50">
        <v>16358.4</v>
      </c>
      <c r="J14" s="51">
        <v>8179.2</v>
      </c>
      <c r="K14" s="50">
        <v>23807.72</v>
      </c>
      <c r="L14" s="51">
        <v>11903.86</v>
      </c>
      <c r="M14" s="36"/>
      <c r="N14" s="36"/>
    </row>
    <row r="15" spans="1:14">
      <c r="A15" s="39" t="s">
        <v>60</v>
      </c>
      <c r="B15" s="40">
        <v>150000</v>
      </c>
      <c r="C15" s="40">
        <v>5000</v>
      </c>
      <c r="D15" s="40">
        <v>146000</v>
      </c>
      <c r="E15" s="38" t="s">
        <v>52</v>
      </c>
      <c r="F15" s="40">
        <v>155000</v>
      </c>
      <c r="G15" s="50">
        <v>14955</v>
      </c>
      <c r="H15" s="51">
        <v>7477.5</v>
      </c>
      <c r="I15" s="50">
        <v>17280</v>
      </c>
      <c r="J15" s="51">
        <v>8640</v>
      </c>
      <c r="K15" s="50">
        <v>25149</v>
      </c>
      <c r="L15" s="51">
        <v>12574.5</v>
      </c>
      <c r="M15" s="36"/>
      <c r="N15" s="36"/>
    </row>
    <row r="16" spans="1:14">
      <c r="A16" s="39" t="s">
        <v>61</v>
      </c>
      <c r="B16" s="40">
        <v>160000</v>
      </c>
      <c r="C16" s="40">
        <v>5330</v>
      </c>
      <c r="D16" s="40">
        <v>155000</v>
      </c>
      <c r="E16" s="38" t="s">
        <v>52</v>
      </c>
      <c r="F16" s="40">
        <v>165000</v>
      </c>
      <c r="G16" s="50">
        <v>15952</v>
      </c>
      <c r="H16" s="51">
        <v>7976</v>
      </c>
      <c r="I16" s="50">
        <v>18432</v>
      </c>
      <c r="J16" s="51">
        <v>9216</v>
      </c>
      <c r="K16" s="50">
        <v>26825.599999999999</v>
      </c>
      <c r="L16" s="51">
        <v>13412.8</v>
      </c>
      <c r="M16" s="36"/>
      <c r="N16" s="36"/>
    </row>
    <row r="17" spans="1:14">
      <c r="A17" s="39" t="s">
        <v>62</v>
      </c>
      <c r="B17" s="40">
        <v>170000</v>
      </c>
      <c r="C17" s="40">
        <v>5670</v>
      </c>
      <c r="D17" s="40">
        <v>165000</v>
      </c>
      <c r="E17" s="38" t="s">
        <v>52</v>
      </c>
      <c r="F17" s="40">
        <v>175000</v>
      </c>
      <c r="G17" s="50">
        <v>16949</v>
      </c>
      <c r="H17" s="51">
        <v>8474.5</v>
      </c>
      <c r="I17" s="50">
        <v>19584</v>
      </c>
      <c r="J17" s="51">
        <v>9792</v>
      </c>
      <c r="K17" s="50">
        <v>28502.2</v>
      </c>
      <c r="L17" s="51">
        <v>14251.1</v>
      </c>
      <c r="M17" s="36"/>
      <c r="N17" s="36"/>
    </row>
    <row r="18" spans="1:14">
      <c r="A18" s="39" t="s">
        <v>63</v>
      </c>
      <c r="B18" s="40">
        <v>180000</v>
      </c>
      <c r="C18" s="40">
        <v>6000</v>
      </c>
      <c r="D18" s="40">
        <v>175000</v>
      </c>
      <c r="E18" s="38" t="s">
        <v>52</v>
      </c>
      <c r="F18" s="40">
        <v>185000</v>
      </c>
      <c r="G18" s="50">
        <v>17946</v>
      </c>
      <c r="H18" s="51">
        <v>8973</v>
      </c>
      <c r="I18" s="50">
        <v>20736</v>
      </c>
      <c r="J18" s="51">
        <v>10368</v>
      </c>
      <c r="K18" s="50">
        <v>30178.799999999999</v>
      </c>
      <c r="L18" s="51">
        <v>15089.4</v>
      </c>
      <c r="M18" s="36"/>
      <c r="N18" s="36"/>
    </row>
    <row r="19" spans="1:14">
      <c r="A19" s="39" t="s">
        <v>64</v>
      </c>
      <c r="B19" s="40">
        <v>190000</v>
      </c>
      <c r="C19" s="40">
        <v>6330</v>
      </c>
      <c r="D19" s="40">
        <v>185000</v>
      </c>
      <c r="E19" s="38" t="s">
        <v>52</v>
      </c>
      <c r="F19" s="40">
        <v>195000</v>
      </c>
      <c r="G19" s="50">
        <v>18943</v>
      </c>
      <c r="H19" s="51">
        <v>9471.5</v>
      </c>
      <c r="I19" s="50">
        <v>21888</v>
      </c>
      <c r="J19" s="51">
        <v>10944</v>
      </c>
      <c r="K19" s="50">
        <v>31855.4</v>
      </c>
      <c r="L19" s="51">
        <v>15927.7</v>
      </c>
      <c r="M19" s="36"/>
      <c r="N19" s="36"/>
    </row>
    <row r="20" spans="1:14">
      <c r="A20" s="39" t="s">
        <v>65</v>
      </c>
      <c r="B20" s="40">
        <v>200000</v>
      </c>
      <c r="C20" s="40">
        <v>6670</v>
      </c>
      <c r="D20" s="40">
        <v>195000</v>
      </c>
      <c r="E20" s="38" t="s">
        <v>52</v>
      </c>
      <c r="F20" s="40">
        <v>210000</v>
      </c>
      <c r="G20" s="50">
        <v>19940</v>
      </c>
      <c r="H20" s="51">
        <v>9970</v>
      </c>
      <c r="I20" s="50">
        <v>23040</v>
      </c>
      <c r="J20" s="51">
        <v>11520</v>
      </c>
      <c r="K20" s="50">
        <v>33532</v>
      </c>
      <c r="L20" s="51">
        <v>16766</v>
      </c>
      <c r="M20" s="36"/>
      <c r="N20" s="36"/>
    </row>
    <row r="21" spans="1:14">
      <c r="A21" s="39" t="s">
        <v>66</v>
      </c>
      <c r="B21" s="40">
        <v>220000</v>
      </c>
      <c r="C21" s="40">
        <v>7330</v>
      </c>
      <c r="D21" s="40">
        <v>210000</v>
      </c>
      <c r="E21" s="38" t="s">
        <v>52</v>
      </c>
      <c r="F21" s="40">
        <v>230000</v>
      </c>
      <c r="G21" s="50">
        <v>21934</v>
      </c>
      <c r="H21" s="51">
        <v>10967</v>
      </c>
      <c r="I21" s="50">
        <v>25344</v>
      </c>
      <c r="J21" s="51">
        <v>12672</v>
      </c>
      <c r="K21" s="50">
        <v>36885.199999999997</v>
      </c>
      <c r="L21" s="51">
        <v>18442.599999999999</v>
      </c>
      <c r="M21" s="36"/>
      <c r="N21" s="36"/>
    </row>
    <row r="22" spans="1:14">
      <c r="A22" s="39" t="s">
        <v>67</v>
      </c>
      <c r="B22" s="40">
        <v>240000</v>
      </c>
      <c r="C22" s="40">
        <v>8000</v>
      </c>
      <c r="D22" s="40">
        <v>230000</v>
      </c>
      <c r="E22" s="38" t="s">
        <v>52</v>
      </c>
      <c r="F22" s="40">
        <v>250000</v>
      </c>
      <c r="G22" s="50">
        <v>23928</v>
      </c>
      <c r="H22" s="51">
        <v>11964</v>
      </c>
      <c r="I22" s="50">
        <v>27648</v>
      </c>
      <c r="J22" s="51">
        <v>13824</v>
      </c>
      <c r="K22" s="50">
        <v>40238.400000000001</v>
      </c>
      <c r="L22" s="51">
        <v>20119.2</v>
      </c>
      <c r="M22" s="36"/>
      <c r="N22" s="36"/>
    </row>
    <row r="23" spans="1:14">
      <c r="A23" s="39" t="s">
        <v>68</v>
      </c>
      <c r="B23" s="40">
        <v>260000</v>
      </c>
      <c r="C23" s="40">
        <v>8670</v>
      </c>
      <c r="D23" s="40">
        <v>250000</v>
      </c>
      <c r="E23" s="38" t="s">
        <v>52</v>
      </c>
      <c r="F23" s="40">
        <v>270000</v>
      </c>
      <c r="G23" s="50">
        <v>25922</v>
      </c>
      <c r="H23" s="51">
        <v>12961</v>
      </c>
      <c r="I23" s="50">
        <v>29952</v>
      </c>
      <c r="J23" s="51">
        <v>14976</v>
      </c>
      <c r="K23" s="50">
        <v>43591.6</v>
      </c>
      <c r="L23" s="51">
        <v>21795.8</v>
      </c>
      <c r="M23" s="36"/>
      <c r="N23" s="36"/>
    </row>
    <row r="24" spans="1:14">
      <c r="A24" s="39" t="s">
        <v>69</v>
      </c>
      <c r="B24" s="40">
        <v>280000</v>
      </c>
      <c r="C24" s="40">
        <v>9330</v>
      </c>
      <c r="D24" s="40">
        <v>270000</v>
      </c>
      <c r="E24" s="38" t="s">
        <v>52</v>
      </c>
      <c r="F24" s="40">
        <v>290000</v>
      </c>
      <c r="G24" s="50">
        <v>27916</v>
      </c>
      <c r="H24" s="51">
        <v>13958</v>
      </c>
      <c r="I24" s="50">
        <v>32256</v>
      </c>
      <c r="J24" s="51">
        <v>16128</v>
      </c>
      <c r="K24" s="50">
        <v>46944.800000000003</v>
      </c>
      <c r="L24" s="51">
        <v>23472.400000000001</v>
      </c>
      <c r="M24" s="36"/>
      <c r="N24" s="36"/>
    </row>
    <row r="25" spans="1:14">
      <c r="A25" s="39" t="s">
        <v>70</v>
      </c>
      <c r="B25" s="40">
        <v>300000</v>
      </c>
      <c r="C25" s="40">
        <v>10000</v>
      </c>
      <c r="D25" s="40">
        <v>290000</v>
      </c>
      <c r="E25" s="38" t="s">
        <v>52</v>
      </c>
      <c r="F25" s="40">
        <v>310000</v>
      </c>
      <c r="G25" s="50">
        <v>29910</v>
      </c>
      <c r="H25" s="51">
        <v>14955</v>
      </c>
      <c r="I25" s="50">
        <v>34560</v>
      </c>
      <c r="J25" s="51">
        <v>17280</v>
      </c>
      <c r="K25" s="50">
        <v>50298</v>
      </c>
      <c r="L25" s="51">
        <v>25149</v>
      </c>
      <c r="M25" s="36"/>
      <c r="N25" s="36"/>
    </row>
    <row r="26" spans="1:14">
      <c r="A26" s="39" t="s">
        <v>71</v>
      </c>
      <c r="B26" s="40">
        <v>320000</v>
      </c>
      <c r="C26" s="40">
        <v>10670</v>
      </c>
      <c r="D26" s="40">
        <v>310000</v>
      </c>
      <c r="E26" s="38" t="s">
        <v>52</v>
      </c>
      <c r="F26" s="40">
        <v>330000</v>
      </c>
      <c r="G26" s="50">
        <v>31904</v>
      </c>
      <c r="H26" s="51">
        <v>15952</v>
      </c>
      <c r="I26" s="50">
        <v>36864</v>
      </c>
      <c r="J26" s="51">
        <v>18432</v>
      </c>
      <c r="K26" s="50">
        <v>53651.199999999997</v>
      </c>
      <c r="L26" s="51">
        <v>26825.599999999999</v>
      </c>
      <c r="M26" s="36"/>
      <c r="N26" s="36"/>
    </row>
    <row r="27" spans="1:14">
      <c r="A27" s="39" t="s">
        <v>72</v>
      </c>
      <c r="B27" s="40">
        <v>340000</v>
      </c>
      <c r="C27" s="40">
        <v>11330</v>
      </c>
      <c r="D27" s="40">
        <v>330000</v>
      </c>
      <c r="E27" s="38" t="s">
        <v>52</v>
      </c>
      <c r="F27" s="40">
        <v>350000</v>
      </c>
      <c r="G27" s="50">
        <v>33898</v>
      </c>
      <c r="H27" s="51">
        <v>16949</v>
      </c>
      <c r="I27" s="50">
        <v>39168</v>
      </c>
      <c r="J27" s="51">
        <v>19584</v>
      </c>
      <c r="K27" s="50">
        <v>57004.4</v>
      </c>
      <c r="L27" s="51">
        <v>28502.2</v>
      </c>
      <c r="M27" s="36"/>
      <c r="N27" s="36"/>
    </row>
    <row r="28" spans="1:14">
      <c r="A28" s="39" t="s">
        <v>73</v>
      </c>
      <c r="B28" s="40">
        <v>360000</v>
      </c>
      <c r="C28" s="40">
        <v>12000</v>
      </c>
      <c r="D28" s="40">
        <v>350000</v>
      </c>
      <c r="E28" s="38" t="s">
        <v>52</v>
      </c>
      <c r="F28" s="40">
        <v>370000</v>
      </c>
      <c r="G28" s="50">
        <v>35892</v>
      </c>
      <c r="H28" s="51">
        <v>17946</v>
      </c>
      <c r="I28" s="50">
        <v>41472</v>
      </c>
      <c r="J28" s="51">
        <v>20736</v>
      </c>
      <c r="K28" s="50">
        <v>60357.599999999999</v>
      </c>
      <c r="L28" s="51">
        <v>30178.799999999999</v>
      </c>
      <c r="M28" s="36"/>
      <c r="N28" s="36"/>
    </row>
    <row r="29" spans="1:14">
      <c r="A29" s="39" t="s">
        <v>74</v>
      </c>
      <c r="B29" s="40">
        <v>380000</v>
      </c>
      <c r="C29" s="40">
        <v>12670</v>
      </c>
      <c r="D29" s="40">
        <v>370000</v>
      </c>
      <c r="E29" s="38" t="s">
        <v>52</v>
      </c>
      <c r="F29" s="40">
        <v>395000</v>
      </c>
      <c r="G29" s="50">
        <v>37886</v>
      </c>
      <c r="H29" s="51">
        <v>18943</v>
      </c>
      <c r="I29" s="50">
        <v>43776</v>
      </c>
      <c r="J29" s="51">
        <v>21888</v>
      </c>
      <c r="K29" s="50">
        <v>63710.8</v>
      </c>
      <c r="L29" s="51">
        <v>31855.4</v>
      </c>
      <c r="M29" s="36"/>
      <c r="N29" s="36"/>
    </row>
    <row r="30" spans="1:14">
      <c r="A30" s="39" t="s">
        <v>75</v>
      </c>
      <c r="B30" s="40">
        <v>410000</v>
      </c>
      <c r="C30" s="40">
        <v>13670</v>
      </c>
      <c r="D30" s="40">
        <v>395000</v>
      </c>
      <c r="E30" s="38" t="s">
        <v>52</v>
      </c>
      <c r="F30" s="40">
        <v>425000</v>
      </c>
      <c r="G30" s="50">
        <v>40877</v>
      </c>
      <c r="H30" s="51">
        <v>20438.5</v>
      </c>
      <c r="I30" s="50">
        <v>47232</v>
      </c>
      <c r="J30" s="51">
        <v>23616</v>
      </c>
      <c r="K30" s="50">
        <v>68740.600000000006</v>
      </c>
      <c r="L30" s="51">
        <v>34370.300000000003</v>
      </c>
      <c r="M30" s="36"/>
      <c r="N30" s="36"/>
    </row>
    <row r="31" spans="1:14">
      <c r="A31" s="39" t="s">
        <v>76</v>
      </c>
      <c r="B31" s="40">
        <v>440000</v>
      </c>
      <c r="C31" s="40">
        <v>14670</v>
      </c>
      <c r="D31" s="40">
        <v>425000</v>
      </c>
      <c r="E31" s="38" t="s">
        <v>52</v>
      </c>
      <c r="F31" s="40">
        <v>455000</v>
      </c>
      <c r="G31" s="50">
        <v>43868</v>
      </c>
      <c r="H31" s="51">
        <v>21934</v>
      </c>
      <c r="I31" s="50">
        <v>50688</v>
      </c>
      <c r="J31" s="51">
        <v>25344</v>
      </c>
      <c r="K31" s="50">
        <v>73770.399999999994</v>
      </c>
      <c r="L31" s="51">
        <v>36885.199999999997</v>
      </c>
      <c r="M31" s="36"/>
      <c r="N31" s="36"/>
    </row>
    <row r="32" spans="1:14">
      <c r="A32" s="39" t="s">
        <v>77</v>
      </c>
      <c r="B32" s="40">
        <v>470000</v>
      </c>
      <c r="C32" s="40">
        <v>15670</v>
      </c>
      <c r="D32" s="40">
        <v>455000</v>
      </c>
      <c r="E32" s="38" t="s">
        <v>52</v>
      </c>
      <c r="F32" s="40">
        <v>485000</v>
      </c>
      <c r="G32" s="50">
        <v>46859</v>
      </c>
      <c r="H32" s="51">
        <v>23429.5</v>
      </c>
      <c r="I32" s="50">
        <v>54144</v>
      </c>
      <c r="J32" s="51">
        <v>27072</v>
      </c>
      <c r="K32" s="50">
        <v>78800.2</v>
      </c>
      <c r="L32" s="51">
        <v>39400.1</v>
      </c>
      <c r="M32" s="36"/>
      <c r="N32" s="36"/>
    </row>
    <row r="33" spans="1:14">
      <c r="A33" s="39" t="s">
        <v>78</v>
      </c>
      <c r="B33" s="40">
        <v>500000</v>
      </c>
      <c r="C33" s="40">
        <v>16670</v>
      </c>
      <c r="D33" s="40">
        <v>485000</v>
      </c>
      <c r="E33" s="38" t="s">
        <v>52</v>
      </c>
      <c r="F33" s="40">
        <v>515000</v>
      </c>
      <c r="G33" s="50">
        <v>49850</v>
      </c>
      <c r="H33" s="51">
        <v>24925</v>
      </c>
      <c r="I33" s="50">
        <v>57600</v>
      </c>
      <c r="J33" s="51">
        <v>28800</v>
      </c>
      <c r="K33" s="50">
        <v>83830</v>
      </c>
      <c r="L33" s="51">
        <v>41915</v>
      </c>
      <c r="M33" s="36"/>
      <c r="N33" s="36"/>
    </row>
    <row r="34" spans="1:14">
      <c r="A34" s="39" t="s">
        <v>79</v>
      </c>
      <c r="B34" s="40">
        <v>530000</v>
      </c>
      <c r="C34" s="40">
        <v>17670</v>
      </c>
      <c r="D34" s="40">
        <v>515000</v>
      </c>
      <c r="E34" s="38" t="s">
        <v>52</v>
      </c>
      <c r="F34" s="40">
        <v>545000</v>
      </c>
      <c r="G34" s="50">
        <v>52841</v>
      </c>
      <c r="H34" s="51">
        <v>26420.5</v>
      </c>
      <c r="I34" s="50">
        <v>61056</v>
      </c>
      <c r="J34" s="51">
        <v>30528</v>
      </c>
      <c r="K34" s="50">
        <v>88859.8</v>
      </c>
      <c r="L34" s="51">
        <v>44429.9</v>
      </c>
      <c r="M34" s="36"/>
      <c r="N34" s="36"/>
    </row>
    <row r="35" spans="1:14">
      <c r="A35" s="39" t="s">
        <v>80</v>
      </c>
      <c r="B35" s="40">
        <v>560000</v>
      </c>
      <c r="C35" s="40">
        <v>18670</v>
      </c>
      <c r="D35" s="40">
        <v>545000</v>
      </c>
      <c r="E35" s="38" t="s">
        <v>52</v>
      </c>
      <c r="F35" s="40">
        <v>575000</v>
      </c>
      <c r="G35" s="50">
        <v>55832</v>
      </c>
      <c r="H35" s="51">
        <v>27916</v>
      </c>
      <c r="I35" s="50">
        <v>64512</v>
      </c>
      <c r="J35" s="51">
        <v>32256</v>
      </c>
      <c r="K35" s="50">
        <v>93889.600000000006</v>
      </c>
      <c r="L35" s="51">
        <v>46944.800000000003</v>
      </c>
      <c r="M35" s="36"/>
      <c r="N35" s="36"/>
    </row>
    <row r="36" spans="1:14">
      <c r="A36" s="39" t="s">
        <v>81</v>
      </c>
      <c r="B36" s="40">
        <v>590000</v>
      </c>
      <c r="C36" s="40">
        <v>19670</v>
      </c>
      <c r="D36" s="40">
        <v>575000</v>
      </c>
      <c r="E36" s="38" t="s">
        <v>52</v>
      </c>
      <c r="F36" s="40">
        <v>605000</v>
      </c>
      <c r="G36" s="50">
        <v>58823</v>
      </c>
      <c r="H36" s="51">
        <v>29411.5</v>
      </c>
      <c r="I36" s="50">
        <v>67968</v>
      </c>
      <c r="J36" s="51">
        <v>33984</v>
      </c>
      <c r="K36" s="50">
        <v>98919.4</v>
      </c>
      <c r="L36" s="51">
        <v>49459.7</v>
      </c>
      <c r="M36" s="36"/>
      <c r="N36" s="36"/>
    </row>
    <row r="37" spans="1:14">
      <c r="A37" s="39" t="s">
        <v>82</v>
      </c>
      <c r="B37" s="40">
        <v>620000</v>
      </c>
      <c r="C37" s="40">
        <v>20670</v>
      </c>
      <c r="D37" s="40">
        <v>605000</v>
      </c>
      <c r="E37" s="38" t="s">
        <v>52</v>
      </c>
      <c r="F37" s="40">
        <v>635000</v>
      </c>
      <c r="G37" s="50">
        <v>61814</v>
      </c>
      <c r="H37" s="51">
        <v>30907</v>
      </c>
      <c r="I37" s="50">
        <v>71424</v>
      </c>
      <c r="J37" s="51">
        <v>35712</v>
      </c>
      <c r="K37" s="50">
        <v>103949.2</v>
      </c>
      <c r="L37" s="51">
        <v>51974.6</v>
      </c>
      <c r="M37" s="36"/>
      <c r="N37" s="36"/>
    </row>
    <row r="38" spans="1:14">
      <c r="A38" s="39">
        <v>35</v>
      </c>
      <c r="B38" s="40">
        <v>650000</v>
      </c>
      <c r="C38" s="40">
        <v>21670</v>
      </c>
      <c r="D38" s="40">
        <v>635000</v>
      </c>
      <c r="E38" s="38" t="s">
        <v>52</v>
      </c>
      <c r="F38" s="40">
        <v>665000</v>
      </c>
      <c r="G38" s="50">
        <v>64805</v>
      </c>
      <c r="H38" s="51">
        <v>32402.5</v>
      </c>
      <c r="I38" s="50">
        <v>74880</v>
      </c>
      <c r="J38" s="51">
        <v>37440</v>
      </c>
      <c r="K38" s="50">
        <v>103949.2</v>
      </c>
      <c r="L38" s="51">
        <v>51974.6</v>
      </c>
      <c r="M38" s="36"/>
    </row>
    <row r="39" spans="1:14">
      <c r="A39" s="39">
        <v>36</v>
      </c>
      <c r="B39" s="40">
        <v>680000</v>
      </c>
      <c r="C39" s="40">
        <v>22670</v>
      </c>
      <c r="D39" s="40">
        <v>665000</v>
      </c>
      <c r="E39" s="38" t="s">
        <v>52</v>
      </c>
      <c r="F39" s="40">
        <v>695000</v>
      </c>
      <c r="G39" s="50">
        <v>67796</v>
      </c>
      <c r="H39" s="51">
        <v>33898</v>
      </c>
      <c r="I39" s="50">
        <v>78336</v>
      </c>
      <c r="J39" s="51">
        <v>39168</v>
      </c>
      <c r="K39" s="50">
        <v>103949.2</v>
      </c>
      <c r="L39" s="51">
        <v>51974.6</v>
      </c>
      <c r="M39" s="36"/>
    </row>
    <row r="40" spans="1:14">
      <c r="A40" s="39">
        <v>37</v>
      </c>
      <c r="B40" s="40">
        <v>710000</v>
      </c>
      <c r="C40" s="40">
        <v>23670</v>
      </c>
      <c r="D40" s="40">
        <v>695000</v>
      </c>
      <c r="E40" s="38" t="s">
        <v>52</v>
      </c>
      <c r="F40" s="40">
        <v>730000</v>
      </c>
      <c r="G40" s="50">
        <v>70787</v>
      </c>
      <c r="H40" s="51">
        <v>35393.5</v>
      </c>
      <c r="I40" s="50">
        <v>81792</v>
      </c>
      <c r="J40" s="51">
        <v>40896</v>
      </c>
      <c r="K40" s="50">
        <v>103949.2</v>
      </c>
      <c r="L40" s="51">
        <v>51974.6</v>
      </c>
      <c r="M40" s="36"/>
    </row>
    <row r="41" spans="1:14">
      <c r="A41" s="39">
        <v>38</v>
      </c>
      <c r="B41" s="40">
        <v>750000</v>
      </c>
      <c r="C41" s="40">
        <v>25000</v>
      </c>
      <c r="D41" s="40">
        <v>730000</v>
      </c>
      <c r="E41" s="38" t="s">
        <v>52</v>
      </c>
      <c r="F41" s="40">
        <v>770000</v>
      </c>
      <c r="G41" s="50">
        <v>74775</v>
      </c>
      <c r="H41" s="51">
        <v>37387.5</v>
      </c>
      <c r="I41" s="50">
        <v>86400</v>
      </c>
      <c r="J41" s="51">
        <v>43200</v>
      </c>
      <c r="K41" s="50">
        <v>103949.2</v>
      </c>
      <c r="L41" s="51">
        <v>51974.6</v>
      </c>
      <c r="M41" s="36"/>
    </row>
    <row r="42" spans="1:14">
      <c r="A42" s="39">
        <v>39</v>
      </c>
      <c r="B42" s="40">
        <v>790000</v>
      </c>
      <c r="C42" s="40">
        <v>26330</v>
      </c>
      <c r="D42" s="40">
        <v>770000</v>
      </c>
      <c r="E42" s="38" t="s">
        <v>52</v>
      </c>
      <c r="F42" s="40">
        <v>810000</v>
      </c>
      <c r="G42" s="50">
        <v>78763</v>
      </c>
      <c r="H42" s="51">
        <v>39381.5</v>
      </c>
      <c r="I42" s="50">
        <v>91008</v>
      </c>
      <c r="J42" s="51">
        <v>45504</v>
      </c>
      <c r="K42" s="50">
        <v>103949.2</v>
      </c>
      <c r="L42" s="51">
        <v>51974.6</v>
      </c>
      <c r="M42" s="36"/>
    </row>
    <row r="43" spans="1:14">
      <c r="A43" s="39">
        <v>40</v>
      </c>
      <c r="B43" s="40">
        <v>830000</v>
      </c>
      <c r="C43" s="40">
        <v>27670</v>
      </c>
      <c r="D43" s="40">
        <v>810000</v>
      </c>
      <c r="E43" s="38" t="s">
        <v>52</v>
      </c>
      <c r="F43" s="40">
        <v>855000</v>
      </c>
      <c r="G43" s="50">
        <v>82751</v>
      </c>
      <c r="H43" s="51">
        <v>41375.5</v>
      </c>
      <c r="I43" s="50">
        <v>95616</v>
      </c>
      <c r="J43" s="51">
        <v>47808</v>
      </c>
      <c r="K43" s="50">
        <v>103949.2</v>
      </c>
      <c r="L43" s="51">
        <v>51974.6</v>
      </c>
    </row>
    <row r="44" spans="1:14">
      <c r="A44" s="39">
        <v>41</v>
      </c>
      <c r="B44" s="40">
        <v>880000</v>
      </c>
      <c r="C44" s="40">
        <v>29330</v>
      </c>
      <c r="D44" s="40">
        <v>855000</v>
      </c>
      <c r="E44" s="38" t="s">
        <v>52</v>
      </c>
      <c r="F44" s="40">
        <v>905000</v>
      </c>
      <c r="G44" s="50">
        <v>87736</v>
      </c>
      <c r="H44" s="51">
        <v>43868</v>
      </c>
      <c r="I44" s="50">
        <v>101376</v>
      </c>
      <c r="J44" s="51">
        <v>50688</v>
      </c>
      <c r="K44" s="50">
        <v>103949.2</v>
      </c>
      <c r="L44" s="51">
        <v>51974.6</v>
      </c>
    </row>
    <row r="45" spans="1:14">
      <c r="A45" s="39">
        <v>42</v>
      </c>
      <c r="B45" s="40">
        <v>930000</v>
      </c>
      <c r="C45" s="40">
        <v>31000</v>
      </c>
      <c r="D45" s="40">
        <v>905000</v>
      </c>
      <c r="E45" s="38" t="s">
        <v>52</v>
      </c>
      <c r="F45" s="40">
        <v>955000</v>
      </c>
      <c r="G45" s="50">
        <v>92721</v>
      </c>
      <c r="H45" s="51">
        <v>46360.5</v>
      </c>
      <c r="I45" s="50">
        <v>107136</v>
      </c>
      <c r="J45" s="51">
        <v>53568</v>
      </c>
      <c r="K45" s="50">
        <v>103949.2</v>
      </c>
      <c r="L45" s="51">
        <v>51974.6</v>
      </c>
    </row>
    <row r="46" spans="1:14">
      <c r="A46" s="39">
        <v>43</v>
      </c>
      <c r="B46" s="40">
        <v>980000</v>
      </c>
      <c r="C46" s="40">
        <v>32670</v>
      </c>
      <c r="D46" s="40">
        <v>955000</v>
      </c>
      <c r="E46" s="38" t="s">
        <v>52</v>
      </c>
      <c r="F46" s="40">
        <v>1005000</v>
      </c>
      <c r="G46" s="50">
        <v>97706</v>
      </c>
      <c r="H46" s="51">
        <v>48853</v>
      </c>
      <c r="I46" s="50">
        <v>112896</v>
      </c>
      <c r="J46" s="51">
        <v>56448</v>
      </c>
      <c r="K46" s="50">
        <v>103949.2</v>
      </c>
      <c r="L46" s="51">
        <v>51974.6</v>
      </c>
    </row>
    <row r="47" spans="1:14">
      <c r="A47" s="39">
        <v>44</v>
      </c>
      <c r="B47" s="40">
        <v>1030000</v>
      </c>
      <c r="C47" s="40">
        <v>34330</v>
      </c>
      <c r="D47" s="40">
        <v>1005000</v>
      </c>
      <c r="E47" s="38" t="s">
        <v>52</v>
      </c>
      <c r="F47" s="40">
        <v>1055000</v>
      </c>
      <c r="G47" s="50">
        <v>102691</v>
      </c>
      <c r="H47" s="51">
        <v>51345.5</v>
      </c>
      <c r="I47" s="50">
        <v>118656</v>
      </c>
      <c r="J47" s="51">
        <v>59328</v>
      </c>
      <c r="K47" s="50">
        <v>103949.2</v>
      </c>
      <c r="L47" s="51">
        <v>51974.6</v>
      </c>
    </row>
    <row r="48" spans="1:14">
      <c r="A48" s="39">
        <v>45</v>
      </c>
      <c r="B48" s="40">
        <v>1090000</v>
      </c>
      <c r="C48" s="40">
        <v>36330</v>
      </c>
      <c r="D48" s="40">
        <v>1055000</v>
      </c>
      <c r="E48" s="38" t="s">
        <v>52</v>
      </c>
      <c r="F48" s="40">
        <v>1115000</v>
      </c>
      <c r="G48" s="50">
        <v>108673</v>
      </c>
      <c r="H48" s="51">
        <v>54336.5</v>
      </c>
      <c r="I48" s="50">
        <v>125568</v>
      </c>
      <c r="J48" s="51">
        <v>62784</v>
      </c>
      <c r="K48" s="50">
        <v>103949.2</v>
      </c>
      <c r="L48" s="51">
        <v>51974.6</v>
      </c>
    </row>
    <row r="49" spans="1:12">
      <c r="A49" s="39">
        <v>46</v>
      </c>
      <c r="B49" s="40">
        <v>1150000</v>
      </c>
      <c r="C49" s="40">
        <v>38330</v>
      </c>
      <c r="D49" s="40">
        <v>1115000</v>
      </c>
      <c r="E49" s="38" t="s">
        <v>52</v>
      </c>
      <c r="F49" s="40">
        <v>1175000</v>
      </c>
      <c r="G49" s="50">
        <v>114655</v>
      </c>
      <c r="H49" s="51">
        <v>57327.5</v>
      </c>
      <c r="I49" s="50">
        <v>132480</v>
      </c>
      <c r="J49" s="51">
        <v>66240</v>
      </c>
      <c r="K49" s="50">
        <v>103949.2</v>
      </c>
      <c r="L49" s="51">
        <v>51974.6</v>
      </c>
    </row>
    <row r="50" spans="1:12">
      <c r="A50" s="39">
        <v>47</v>
      </c>
      <c r="B50" s="40">
        <v>1210000</v>
      </c>
      <c r="C50" s="40">
        <v>40330</v>
      </c>
      <c r="D50" s="40">
        <v>1175000</v>
      </c>
      <c r="E50" s="38" t="s">
        <v>52</v>
      </c>
      <c r="F50" s="41">
        <v>120637</v>
      </c>
      <c r="G50" s="50">
        <v>60318.5</v>
      </c>
      <c r="H50" s="51">
        <v>139392</v>
      </c>
      <c r="I50" s="50">
        <v>69696</v>
      </c>
      <c r="J50" s="52"/>
      <c r="K50" s="50">
        <v>103949.2</v>
      </c>
      <c r="L50" s="51">
        <v>51974.6</v>
      </c>
    </row>
  </sheetData>
  <mergeCells count="6">
    <mergeCell ref="A1:F2"/>
    <mergeCell ref="G2:H2"/>
    <mergeCell ref="I2:J2"/>
    <mergeCell ref="K2:L2"/>
    <mergeCell ref="G1:J1"/>
    <mergeCell ref="K1:L1"/>
  </mergeCells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23"/>
  <sheetViews>
    <sheetView workbookViewId="0">
      <selection activeCell="L40" sqref="L40"/>
    </sheetView>
  </sheetViews>
  <sheetFormatPr defaultRowHeight="13.5"/>
  <cols>
    <col min="1" max="1" width="3.875" customWidth="1"/>
    <col min="2" max="2" width="11.375" bestFit="1" customWidth="1"/>
    <col min="7" max="7" width="10.75" customWidth="1"/>
  </cols>
  <sheetData>
    <row r="2" spans="1:9">
      <c r="B2" t="s">
        <v>127</v>
      </c>
    </row>
    <row r="3" spans="1:9" ht="14.25" thickBot="1">
      <c r="B3" s="77" t="s">
        <v>123</v>
      </c>
      <c r="C3" s="77" t="s">
        <v>126</v>
      </c>
      <c r="D3" s="77" t="s">
        <v>125</v>
      </c>
    </row>
    <row r="4" spans="1:9" ht="14.25" thickTop="1">
      <c r="A4">
        <f>ROW()</f>
        <v>4</v>
      </c>
      <c r="B4" s="43">
        <v>135416</v>
      </c>
      <c r="C4" s="43">
        <v>54167</v>
      </c>
      <c r="D4" s="76">
        <v>0</v>
      </c>
      <c r="G4" s="70"/>
    </row>
    <row r="5" spans="1:9">
      <c r="A5" s="67"/>
      <c r="B5" s="40">
        <v>149999</v>
      </c>
      <c r="C5" s="74">
        <v>0.4</v>
      </c>
      <c r="D5" s="73">
        <v>0</v>
      </c>
      <c r="G5" s="71"/>
    </row>
    <row r="6" spans="1:9">
      <c r="A6" s="67"/>
      <c r="B6" s="40">
        <v>299999</v>
      </c>
      <c r="C6" s="74">
        <v>0.3</v>
      </c>
      <c r="D6" s="40">
        <v>15000</v>
      </c>
      <c r="G6" s="72"/>
      <c r="I6" s="70"/>
    </row>
    <row r="7" spans="1:9">
      <c r="A7" s="67"/>
      <c r="B7" s="40">
        <v>549999</v>
      </c>
      <c r="C7" s="74">
        <v>0.2</v>
      </c>
      <c r="D7" s="40">
        <v>45000</v>
      </c>
      <c r="G7" s="70"/>
    </row>
    <row r="8" spans="1:9">
      <c r="A8" s="67"/>
      <c r="B8" s="40">
        <v>833333</v>
      </c>
      <c r="C8" s="74">
        <v>0.1</v>
      </c>
      <c r="D8" s="40">
        <v>100000</v>
      </c>
      <c r="G8" s="70"/>
    </row>
    <row r="9" spans="1:9">
      <c r="B9" s="40">
        <v>99999999</v>
      </c>
      <c r="C9" s="74">
        <v>0.05</v>
      </c>
      <c r="D9" s="40">
        <v>141667</v>
      </c>
    </row>
    <row r="10" spans="1:9">
      <c r="B10" s="78"/>
      <c r="C10" s="79"/>
      <c r="D10" s="78"/>
    </row>
    <row r="11" spans="1:9">
      <c r="B11" t="s">
        <v>128</v>
      </c>
      <c r="G11" s="70"/>
    </row>
    <row r="12" spans="1:9" ht="14.25" thickBot="1">
      <c r="B12" s="77"/>
      <c r="C12" s="77"/>
    </row>
    <row r="13" spans="1:9" ht="14.25" thickTop="1">
      <c r="B13" s="76" t="s">
        <v>107</v>
      </c>
      <c r="C13" s="43">
        <v>31667</v>
      </c>
    </row>
    <row r="14" spans="1:9">
      <c r="B14" s="73" t="s">
        <v>108</v>
      </c>
      <c r="C14" s="40">
        <v>31667</v>
      </c>
    </row>
    <row r="16" spans="1:9">
      <c r="B16" t="s">
        <v>129</v>
      </c>
    </row>
    <row r="17" spans="1:4" ht="14.25" thickBot="1">
      <c r="B17" s="77" t="s">
        <v>123</v>
      </c>
      <c r="C17" s="77" t="s">
        <v>124</v>
      </c>
      <c r="D17" s="77" t="s">
        <v>125</v>
      </c>
    </row>
    <row r="18" spans="1:4" ht="14.25" thickTop="1">
      <c r="A18">
        <f>ROW()</f>
        <v>18</v>
      </c>
      <c r="B18" s="43">
        <v>162500</v>
      </c>
      <c r="C18" s="75">
        <v>0.05</v>
      </c>
      <c r="D18" s="76">
        <v>0</v>
      </c>
    </row>
    <row r="19" spans="1:4">
      <c r="A19" s="67"/>
      <c r="B19" s="40">
        <v>275000</v>
      </c>
      <c r="C19" s="74">
        <v>0.1</v>
      </c>
      <c r="D19" s="40">
        <v>8125</v>
      </c>
    </row>
    <row r="20" spans="1:4">
      <c r="A20" s="67"/>
      <c r="B20" s="40">
        <v>579166</v>
      </c>
      <c r="C20" s="74">
        <v>0.2</v>
      </c>
      <c r="D20" s="40">
        <v>35625</v>
      </c>
    </row>
    <row r="21" spans="1:4">
      <c r="A21" s="67"/>
      <c r="B21" s="40">
        <v>750000</v>
      </c>
      <c r="C21" s="74">
        <v>0.23</v>
      </c>
      <c r="D21" s="40">
        <v>53000</v>
      </c>
    </row>
    <row r="22" spans="1:4">
      <c r="A22" s="67"/>
      <c r="B22" s="40">
        <v>1500000</v>
      </c>
      <c r="C22" s="74">
        <v>0.33</v>
      </c>
      <c r="D22" s="40">
        <v>128000</v>
      </c>
    </row>
    <row r="23" spans="1:4">
      <c r="A23" s="67"/>
      <c r="B23" s="40">
        <v>99999999</v>
      </c>
      <c r="C23" s="74">
        <v>0.4</v>
      </c>
      <c r="D23" s="40">
        <v>233000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3"/>
  <sheetViews>
    <sheetView workbookViewId="0">
      <selection activeCell="L40" sqref="L40"/>
    </sheetView>
  </sheetViews>
  <sheetFormatPr defaultRowHeight="13.5"/>
  <cols>
    <col min="1" max="16384" width="9" style="1"/>
  </cols>
  <sheetData>
    <row r="1" spans="1:5">
      <c r="A1" s="1" t="s">
        <v>37</v>
      </c>
      <c r="B1" s="1" t="s">
        <v>38</v>
      </c>
    </row>
    <row r="2" spans="1:5">
      <c r="A2" s="1">
        <v>1</v>
      </c>
      <c r="B2" s="1" t="s">
        <v>4</v>
      </c>
      <c r="C2" s="31" t="s">
        <v>51</v>
      </c>
      <c r="D2" s="1" t="s">
        <v>41</v>
      </c>
    </row>
    <row r="3" spans="1:5">
      <c r="A3" s="1">
        <v>2</v>
      </c>
      <c r="B3" s="1" t="s">
        <v>39</v>
      </c>
      <c r="C3" s="1" t="s">
        <v>154</v>
      </c>
      <c r="D3" s="32" t="s">
        <v>130</v>
      </c>
    </row>
    <row r="4" spans="1:5">
      <c r="A4" s="1">
        <v>3</v>
      </c>
      <c r="C4" s="1" t="s">
        <v>155</v>
      </c>
      <c r="D4" s="32" t="s">
        <v>131</v>
      </c>
    </row>
    <row r="5" spans="1:5">
      <c r="A5" s="1">
        <v>4</v>
      </c>
      <c r="C5" s="30" t="s">
        <v>48</v>
      </c>
      <c r="D5" s="30" t="s">
        <v>50</v>
      </c>
    </row>
    <row r="6" spans="1:5">
      <c r="A6" s="1">
        <v>5</v>
      </c>
      <c r="C6" s="30" t="s">
        <v>49</v>
      </c>
      <c r="D6" s="1">
        <v>11</v>
      </c>
    </row>
    <row r="7" spans="1:5">
      <c r="A7" s="1">
        <v>6</v>
      </c>
    </row>
    <row r="8" spans="1:5">
      <c r="A8" s="1">
        <v>7</v>
      </c>
    </row>
    <row r="9" spans="1:5">
      <c r="A9" s="1">
        <v>8</v>
      </c>
      <c r="C9" s="1" t="s">
        <v>103</v>
      </c>
    </row>
    <row r="10" spans="1:5">
      <c r="A10" s="1">
        <v>9</v>
      </c>
      <c r="C10" s="1">
        <v>5</v>
      </c>
      <c r="D10" s="1">
        <v>1000</v>
      </c>
      <c r="E10" s="64">
        <f>C10/D10</f>
        <v>5.0000000000000001E-3</v>
      </c>
    </row>
    <row r="11" spans="1:5">
      <c r="A11" s="1">
        <v>10</v>
      </c>
    </row>
    <row r="12" spans="1:5">
      <c r="A12" s="1">
        <v>11</v>
      </c>
    </row>
    <row r="13" spans="1:5">
      <c r="A13" s="1">
        <v>12</v>
      </c>
    </row>
  </sheetData>
  <phoneticPr fontId="3"/>
  <hyperlinks>
    <hyperlink ref="D3" r:id="rId1"/>
    <hyperlink ref="D4" r:id="rId2"/>
  </hyperlinks>
  <pageMargins left="0.7" right="0.7" top="0.75" bottom="0.75" header="0.3" footer="0.3"/>
  <pageSetup paperSize="9" orientation="portrait" horizontalDpi="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2</vt:i4>
      </vt:variant>
    </vt:vector>
  </HeadingPairs>
  <TitlesOfParts>
    <vt:vector size="8" baseType="lpstr">
      <vt:lpstr>給与明細情報</vt:lpstr>
      <vt:lpstr>基本給DB</vt:lpstr>
      <vt:lpstr>フォーマットP001</vt:lpstr>
      <vt:lpstr>保険年金算出表</vt:lpstr>
      <vt:lpstr>源泉徴収額算出表</vt:lpstr>
      <vt:lpstr>マスタ</vt:lpstr>
      <vt:lpstr>月リスト</vt:lpstr>
      <vt:lpstr>発行不要リスト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sib</dc:creator>
  <cp:lastModifiedBy>藤本　卓</cp:lastModifiedBy>
  <cp:lastPrinted>2012-02-08T03:00:50Z</cp:lastPrinted>
  <dcterms:created xsi:type="dcterms:W3CDTF">1997-01-08T22:48:59Z</dcterms:created>
  <dcterms:modified xsi:type="dcterms:W3CDTF">2013-10-23T08:38:10Z</dcterms:modified>
</cp:coreProperties>
</file>